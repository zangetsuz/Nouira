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ordinateur\Coordination\AlAmineNouira\"/>
    </mc:Choice>
  </mc:AlternateContent>
  <bookViews>
    <workbookView xWindow="1740" yWindow="-120" windowWidth="19800" windowHeight="11760" tabRatio="979" activeTab="2"/>
  </bookViews>
  <sheets>
    <sheet name="chronoModel" sheetId="34" r:id="rId1"/>
    <sheet name="Formation" sheetId="9" r:id="rId2"/>
    <sheet name="EmploiGroupe" sheetId="2" r:id="rId3"/>
    <sheet name="programmer" sheetId="5" r:id="rId4"/>
    <sheet name="EmpFormateur" sheetId="7" r:id="rId5"/>
    <sheet name="Prévision" sheetId="41" r:id="rId6"/>
    <sheet name="Réalisés" sheetId="33" r:id="rId7"/>
    <sheet name="Admin" sheetId="1" r:id="rId8"/>
    <sheet name="fc800" sheetId="44" r:id="rId9"/>
    <sheet name="fc120" sheetId="45" r:id="rId10"/>
    <sheet name="MP2020" sheetId="46" r:id="rId11"/>
    <sheet name="Maq2020" sheetId="47" r:id="rId12"/>
    <sheet name="MOT2019" sheetId="50" r:id="rId13"/>
    <sheet name="Actv" sheetId="52" r:id="rId14"/>
  </sheets>
  <functionGroups builtInGroupCount="18"/>
  <definedNames>
    <definedName name="_xlnm._FilterDatabase" localSheetId="13" hidden="1">Actv!$A$4:$AW$37</definedName>
    <definedName name="_xlnm._FilterDatabase" localSheetId="0" hidden="1">chronoModel!$A$4:$AW$22</definedName>
    <definedName name="_xlnm._FilterDatabase" localSheetId="9" hidden="1">'fc120'!$A$4:$BZ$100</definedName>
    <definedName name="_xlnm._FilterDatabase" localSheetId="8" hidden="1">'fc800'!$A$4:$BZ$100</definedName>
    <definedName name="_xlnm._FilterDatabase" localSheetId="11" hidden="1">'Maq2020'!$A$4:$E$100</definedName>
    <definedName name="_xlnm._FilterDatabase" localSheetId="12" hidden="1">'MOT2019'!$A$4:$AW$37</definedName>
    <definedName name="_xlnm._FilterDatabase" localSheetId="10" hidden="1">'MP2020'!$A$4:$BZ$100</definedName>
    <definedName name="_xlnm._FilterDatabase" localSheetId="3" hidden="1">programmer!$A$2:$K$834</definedName>
    <definedName name="Abr">Admin!$H$4:$H$9</definedName>
    <definedName name="chronoActivity" localSheetId="5">#REF!</definedName>
    <definedName name="chronoActivity" localSheetId="6">#REF!</definedName>
    <definedName name="chronoActivity">#REF!</definedName>
    <definedName name="_xlnm.Criteria" localSheetId="2">EmploiGroupe!$N$8:$N$9</definedName>
    <definedName name="_xlnm.Criteria" localSheetId="5">Prévision!$K$3:$K$9</definedName>
    <definedName name="_xlnm.Extract" localSheetId="2">EmploiGroupe!$K$8:$M$8</definedName>
    <definedName name="_xlnm.Extract" localSheetId="1">Formation!$A$6:$C$6</definedName>
    <definedName name="_xlnm.Extract" localSheetId="5">Prévision!$K$6:$N$6</definedName>
    <definedName name="ffffff">#REF!</definedName>
    <definedName name="FormateurAR">Admin!$B$4:$B$5</definedName>
    <definedName name="GradeAR">Admin!$O$4:$O$19</definedName>
    <definedName name="Groupe">Admin!$F$4:$F$9</definedName>
    <definedName name="lstFormateur">Admin!$C$4:$C$5</definedName>
    <definedName name="_xlnm.Print_Area" localSheetId="4">EmpFormateur!$C$3:$J$32</definedName>
    <definedName name="_xlnm.Print_Area" localSheetId="2">EmploiGroupe!$C$3:$I$32</definedName>
    <definedName name="ProgDeform">Admin!$L$4:$L$8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3" l="1"/>
  <c r="G8" i="47"/>
  <c r="H8" i="47"/>
  <c r="F8" i="47" s="1"/>
  <c r="G9" i="47"/>
  <c r="H9" i="47"/>
  <c r="F9" i="47" s="1"/>
  <c r="G6" i="47"/>
  <c r="H6" i="47"/>
  <c r="F6" i="47" s="1"/>
  <c r="G5" i="47"/>
  <c r="H5" i="47"/>
  <c r="F5" i="47" s="1"/>
  <c r="G7" i="46"/>
  <c r="H7" i="46"/>
  <c r="F7" i="46" s="1"/>
  <c r="G8" i="46"/>
  <c r="H8" i="46"/>
  <c r="F8" i="46" s="1"/>
  <c r="G9" i="46"/>
  <c r="H9" i="46"/>
  <c r="F9" i="46" s="1"/>
  <c r="G5" i="46"/>
  <c r="H5" i="46"/>
  <c r="F5" i="46" s="1"/>
  <c r="AD3" i="52"/>
  <c r="AC3" i="52"/>
  <c r="AB3" i="52"/>
  <c r="AA3" i="52"/>
  <c r="Z3" i="52"/>
  <c r="Y3" i="52"/>
  <c r="X3" i="52"/>
  <c r="W3" i="52"/>
  <c r="V3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J1" i="52"/>
  <c r="K1" i="52" s="1"/>
  <c r="I1" i="52"/>
  <c r="I2" i="52" s="1"/>
  <c r="F25" i="50"/>
  <c r="F26" i="50"/>
  <c r="F29" i="50"/>
  <c r="F30" i="50"/>
  <c r="F33" i="50"/>
  <c r="F34" i="50"/>
  <c r="F37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H23" i="50"/>
  <c r="F23" i="50" s="1"/>
  <c r="H24" i="50"/>
  <c r="F24" i="50" s="1"/>
  <c r="H25" i="50"/>
  <c r="H26" i="50"/>
  <c r="H27" i="50"/>
  <c r="F27" i="50" s="1"/>
  <c r="H28" i="50"/>
  <c r="F28" i="50" s="1"/>
  <c r="H29" i="50"/>
  <c r="H30" i="50"/>
  <c r="H31" i="50"/>
  <c r="F31" i="50" s="1"/>
  <c r="H32" i="50"/>
  <c r="F32" i="50" s="1"/>
  <c r="H33" i="50"/>
  <c r="H34" i="50"/>
  <c r="H35" i="50"/>
  <c r="F35" i="50" s="1"/>
  <c r="H36" i="50"/>
  <c r="F36" i="50" s="1"/>
  <c r="H37" i="50"/>
  <c r="H22" i="50"/>
  <c r="F22" i="50" s="1"/>
  <c r="G22" i="50"/>
  <c r="H21" i="50"/>
  <c r="F21" i="50" s="1"/>
  <c r="G21" i="50"/>
  <c r="H20" i="50"/>
  <c r="F20" i="50" s="1"/>
  <c r="G20" i="50"/>
  <c r="H19" i="50"/>
  <c r="F19" i="50" s="1"/>
  <c r="G19" i="50"/>
  <c r="H18" i="50"/>
  <c r="F18" i="50" s="1"/>
  <c r="G18" i="50"/>
  <c r="H17" i="50"/>
  <c r="F17" i="50" s="1"/>
  <c r="G17" i="50"/>
  <c r="H16" i="50"/>
  <c r="F16" i="50" s="1"/>
  <c r="G16" i="50"/>
  <c r="H15" i="50"/>
  <c r="F15" i="50" s="1"/>
  <c r="G15" i="50"/>
  <c r="H14" i="50"/>
  <c r="F14" i="50" s="1"/>
  <c r="G14" i="50"/>
  <c r="H13" i="50"/>
  <c r="F13" i="50" s="1"/>
  <c r="G13" i="50"/>
  <c r="H12" i="50"/>
  <c r="F12" i="50" s="1"/>
  <c r="G12" i="50"/>
  <c r="H11" i="50"/>
  <c r="G11" i="50"/>
  <c r="F11" i="50"/>
  <c r="H10" i="50"/>
  <c r="F10" i="50" s="1"/>
  <c r="G10" i="50"/>
  <c r="H9" i="50"/>
  <c r="F9" i="50" s="1"/>
  <c r="G9" i="50"/>
  <c r="H8" i="50"/>
  <c r="G8" i="50"/>
  <c r="F8" i="50"/>
  <c r="H7" i="50"/>
  <c r="G7" i="50"/>
  <c r="F7" i="50"/>
  <c r="H6" i="50"/>
  <c r="F6" i="50" s="1"/>
  <c r="G6" i="50"/>
  <c r="H5" i="50"/>
  <c r="F5" i="50" s="1"/>
  <c r="G5" i="50"/>
  <c r="AD3" i="50"/>
  <c r="AC3" i="50"/>
  <c r="AB3" i="50"/>
  <c r="AA3" i="50"/>
  <c r="Z3" i="50"/>
  <c r="Y3" i="50"/>
  <c r="X3" i="50"/>
  <c r="W3" i="50"/>
  <c r="V3" i="50"/>
  <c r="U3" i="50"/>
  <c r="T3" i="50"/>
  <c r="S3" i="50"/>
  <c r="R3" i="50"/>
  <c r="Q3" i="50"/>
  <c r="P3" i="50"/>
  <c r="O3" i="50"/>
  <c r="N3" i="50"/>
  <c r="M3" i="50"/>
  <c r="L3" i="50"/>
  <c r="K3" i="50"/>
  <c r="J3" i="50"/>
  <c r="I3" i="50"/>
  <c r="J1" i="50"/>
  <c r="K1" i="50" s="1"/>
  <c r="I1" i="50"/>
  <c r="I2" i="50" s="1"/>
  <c r="G27" i="47"/>
  <c r="G28" i="47"/>
  <c r="G29" i="47"/>
  <c r="G30" i="47"/>
  <c r="G31" i="47"/>
  <c r="G32" i="47"/>
  <c r="G33" i="47"/>
  <c r="G34" i="47"/>
  <c r="G35" i="47"/>
  <c r="H27" i="47"/>
  <c r="F27" i="47" s="1"/>
  <c r="H28" i="47"/>
  <c r="F28" i="47" s="1"/>
  <c r="H29" i="47"/>
  <c r="F29" i="47" s="1"/>
  <c r="H30" i="47"/>
  <c r="F30" i="47" s="1"/>
  <c r="H31" i="47"/>
  <c r="F31" i="47" s="1"/>
  <c r="H32" i="47"/>
  <c r="F32" i="47" s="1"/>
  <c r="H33" i="47"/>
  <c r="F33" i="47" s="1"/>
  <c r="H34" i="47"/>
  <c r="F34" i="47" s="1"/>
  <c r="H35" i="47"/>
  <c r="F35" i="47" s="1"/>
  <c r="H26" i="47"/>
  <c r="F26" i="47" s="1"/>
  <c r="G26" i="47"/>
  <c r="H25" i="47"/>
  <c r="F25" i="47" s="1"/>
  <c r="G25" i="47"/>
  <c r="H24" i="47"/>
  <c r="F24" i="47" s="1"/>
  <c r="G24" i="47"/>
  <c r="H23" i="47"/>
  <c r="F23" i="47" s="1"/>
  <c r="G23" i="47"/>
  <c r="H22" i="47"/>
  <c r="F22" i="47" s="1"/>
  <c r="G22" i="47"/>
  <c r="H21" i="47"/>
  <c r="F21" i="47" s="1"/>
  <c r="G21" i="47"/>
  <c r="H20" i="47"/>
  <c r="F20" i="47" s="1"/>
  <c r="G20" i="47"/>
  <c r="H19" i="47"/>
  <c r="F19" i="47" s="1"/>
  <c r="G19" i="47"/>
  <c r="H18" i="47"/>
  <c r="F18" i="47" s="1"/>
  <c r="G18" i="47"/>
  <c r="H17" i="47"/>
  <c r="F17" i="47" s="1"/>
  <c r="G17" i="47"/>
  <c r="H16" i="47"/>
  <c r="F16" i="47" s="1"/>
  <c r="G16" i="47"/>
  <c r="H15" i="47"/>
  <c r="F15" i="47" s="1"/>
  <c r="G15" i="47"/>
  <c r="H14" i="47"/>
  <c r="F14" i="47" s="1"/>
  <c r="G14" i="47"/>
  <c r="H13" i="47"/>
  <c r="F13" i="47" s="1"/>
  <c r="G13" i="47"/>
  <c r="H12" i="47"/>
  <c r="F12" i="47" s="1"/>
  <c r="G12" i="47"/>
  <c r="H11" i="47"/>
  <c r="F11" i="47" s="1"/>
  <c r="G11" i="47"/>
  <c r="H10" i="47"/>
  <c r="F10" i="47" s="1"/>
  <c r="G10" i="47"/>
  <c r="H7" i="47"/>
  <c r="F7" i="47" s="1"/>
  <c r="G7" i="47"/>
  <c r="AD3" i="47"/>
  <c r="AC3" i="47"/>
  <c r="AB3" i="47"/>
  <c r="AA3" i="47"/>
  <c r="Z3" i="47"/>
  <c r="Y3" i="47"/>
  <c r="X3" i="47"/>
  <c r="W3" i="47"/>
  <c r="V3" i="47"/>
  <c r="U3" i="47"/>
  <c r="T3" i="47"/>
  <c r="S3" i="47"/>
  <c r="R3" i="47"/>
  <c r="Q3" i="47"/>
  <c r="P3" i="47"/>
  <c r="O3" i="47"/>
  <c r="N3" i="47"/>
  <c r="M3" i="47"/>
  <c r="L3" i="47"/>
  <c r="K3" i="47"/>
  <c r="J3" i="47"/>
  <c r="I3" i="47"/>
  <c r="I1" i="47"/>
  <c r="J1" i="47" s="1"/>
  <c r="G27" i="46"/>
  <c r="G28" i="46"/>
  <c r="G29" i="46"/>
  <c r="G30" i="46"/>
  <c r="G31" i="46"/>
  <c r="G32" i="46"/>
  <c r="G33" i="46"/>
  <c r="G34" i="46"/>
  <c r="G35" i="46"/>
  <c r="G36" i="46"/>
  <c r="H27" i="46"/>
  <c r="F27" i="46" s="1"/>
  <c r="H28" i="46"/>
  <c r="F28" i="46" s="1"/>
  <c r="H29" i="46"/>
  <c r="F29" i="46" s="1"/>
  <c r="H30" i="46"/>
  <c r="F30" i="46" s="1"/>
  <c r="H31" i="46"/>
  <c r="F31" i="46" s="1"/>
  <c r="H32" i="46"/>
  <c r="F32" i="46" s="1"/>
  <c r="H33" i="46"/>
  <c r="F33" i="46" s="1"/>
  <c r="H34" i="46"/>
  <c r="F34" i="46" s="1"/>
  <c r="H35" i="46"/>
  <c r="F35" i="46" s="1"/>
  <c r="H36" i="46"/>
  <c r="F36" i="46" s="1"/>
  <c r="H26" i="46"/>
  <c r="F26" i="46" s="1"/>
  <c r="G26" i="46"/>
  <c r="H25" i="46"/>
  <c r="F25" i="46" s="1"/>
  <c r="G25" i="46"/>
  <c r="H24" i="46"/>
  <c r="F24" i="46" s="1"/>
  <c r="G24" i="46"/>
  <c r="H23" i="46"/>
  <c r="F23" i="46" s="1"/>
  <c r="G23" i="46"/>
  <c r="H22" i="46"/>
  <c r="F22" i="46" s="1"/>
  <c r="G22" i="46"/>
  <c r="H21" i="46"/>
  <c r="F21" i="46" s="1"/>
  <c r="G21" i="46"/>
  <c r="H20" i="46"/>
  <c r="F20" i="46" s="1"/>
  <c r="G20" i="46"/>
  <c r="H19" i="46"/>
  <c r="F19" i="46" s="1"/>
  <c r="G19" i="46"/>
  <c r="H18" i="46"/>
  <c r="F18" i="46" s="1"/>
  <c r="G18" i="46"/>
  <c r="H17" i="46"/>
  <c r="F17" i="46" s="1"/>
  <c r="G17" i="46"/>
  <c r="H16" i="46"/>
  <c r="F16" i="46" s="1"/>
  <c r="G16" i="46"/>
  <c r="H15" i="46"/>
  <c r="F15" i="46" s="1"/>
  <c r="G15" i="46"/>
  <c r="H14" i="46"/>
  <c r="F14" i="46" s="1"/>
  <c r="G14" i="46"/>
  <c r="H13" i="46"/>
  <c r="F13" i="46" s="1"/>
  <c r="G13" i="46"/>
  <c r="H12" i="46"/>
  <c r="F12" i="46" s="1"/>
  <c r="G12" i="46"/>
  <c r="H11" i="46"/>
  <c r="F11" i="46" s="1"/>
  <c r="G11" i="46"/>
  <c r="H10" i="46"/>
  <c r="F10" i="46" s="1"/>
  <c r="G10" i="46"/>
  <c r="H6" i="46"/>
  <c r="F6" i="46" s="1"/>
  <c r="G6" i="46"/>
  <c r="AD3" i="46"/>
  <c r="AC3" i="46"/>
  <c r="AB3" i="46"/>
  <c r="AA3" i="46"/>
  <c r="Z3" i="46"/>
  <c r="Y3" i="46"/>
  <c r="X3" i="46"/>
  <c r="W3" i="46"/>
  <c r="V3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I1" i="46"/>
  <c r="J1" i="46" s="1"/>
  <c r="H22" i="45"/>
  <c r="F22" i="45" s="1"/>
  <c r="G22" i="45"/>
  <c r="H21" i="45"/>
  <c r="G21" i="45"/>
  <c r="F21" i="45"/>
  <c r="H20" i="45"/>
  <c r="G20" i="45"/>
  <c r="F20" i="45"/>
  <c r="H19" i="45"/>
  <c r="F19" i="45" s="1"/>
  <c r="G19" i="45"/>
  <c r="H18" i="45"/>
  <c r="F18" i="45" s="1"/>
  <c r="G18" i="45"/>
  <c r="H17" i="45"/>
  <c r="G17" i="45"/>
  <c r="F17" i="45"/>
  <c r="H16" i="45"/>
  <c r="G16" i="45"/>
  <c r="F16" i="45"/>
  <c r="H15" i="45"/>
  <c r="F15" i="45" s="1"/>
  <c r="G15" i="45"/>
  <c r="H14" i="45"/>
  <c r="F14" i="45" s="1"/>
  <c r="G14" i="45"/>
  <c r="H13" i="45"/>
  <c r="G13" i="45"/>
  <c r="F13" i="45"/>
  <c r="H12" i="45"/>
  <c r="G12" i="45"/>
  <c r="F12" i="45"/>
  <c r="H11" i="45"/>
  <c r="F11" i="45" s="1"/>
  <c r="G11" i="45"/>
  <c r="H10" i="45"/>
  <c r="F10" i="45" s="1"/>
  <c r="G10" i="45"/>
  <c r="H9" i="45"/>
  <c r="G9" i="45"/>
  <c r="F9" i="45"/>
  <c r="H8" i="45"/>
  <c r="G8" i="45"/>
  <c r="F8" i="45"/>
  <c r="H7" i="45"/>
  <c r="F7" i="45" s="1"/>
  <c r="G7" i="45"/>
  <c r="H6" i="45"/>
  <c r="F6" i="45" s="1"/>
  <c r="G6" i="45"/>
  <c r="H5" i="45"/>
  <c r="G5" i="45"/>
  <c r="F5" i="45"/>
  <c r="AD3" i="45"/>
  <c r="AC3" i="45"/>
  <c r="AB3" i="45"/>
  <c r="AA3" i="45"/>
  <c r="Z3" i="45"/>
  <c r="Y3" i="45"/>
  <c r="X3" i="45"/>
  <c r="W3" i="45"/>
  <c r="V3" i="45"/>
  <c r="U3" i="45"/>
  <c r="T3" i="45"/>
  <c r="S3" i="45"/>
  <c r="R3" i="45"/>
  <c r="Q3" i="45"/>
  <c r="P3" i="45"/>
  <c r="O3" i="45"/>
  <c r="N3" i="45"/>
  <c r="M3" i="45"/>
  <c r="L3" i="45"/>
  <c r="K3" i="45"/>
  <c r="J3" i="45"/>
  <c r="I3" i="45"/>
  <c r="J1" i="45"/>
  <c r="K1" i="45" s="1"/>
  <c r="I1" i="45"/>
  <c r="I2" i="45" s="1"/>
  <c r="H22" i="44"/>
  <c r="F22" i="44" s="1"/>
  <c r="G22" i="44"/>
  <c r="H21" i="44"/>
  <c r="G21" i="44"/>
  <c r="F21" i="44"/>
  <c r="H20" i="44"/>
  <c r="G20" i="44"/>
  <c r="F20" i="44"/>
  <c r="H19" i="44"/>
  <c r="F19" i="44" s="1"/>
  <c r="G19" i="44"/>
  <c r="H18" i="44"/>
  <c r="F18" i="44" s="1"/>
  <c r="G18" i="44"/>
  <c r="H17" i="44"/>
  <c r="G17" i="44"/>
  <c r="F17" i="44"/>
  <c r="H16" i="44"/>
  <c r="G16" i="44"/>
  <c r="F16" i="44"/>
  <c r="H15" i="44"/>
  <c r="F15" i="44" s="1"/>
  <c r="G15" i="44"/>
  <c r="H14" i="44"/>
  <c r="F14" i="44" s="1"/>
  <c r="G14" i="44"/>
  <c r="H13" i="44"/>
  <c r="G13" i="44"/>
  <c r="F13" i="44"/>
  <c r="H12" i="44"/>
  <c r="G12" i="44"/>
  <c r="F12" i="44"/>
  <c r="H11" i="44"/>
  <c r="G11" i="44"/>
  <c r="F11" i="44"/>
  <c r="H10" i="44"/>
  <c r="F10" i="44" s="1"/>
  <c r="G10" i="44"/>
  <c r="H9" i="44"/>
  <c r="G9" i="44"/>
  <c r="F9" i="44"/>
  <c r="H8" i="44"/>
  <c r="G8" i="44"/>
  <c r="F8" i="44"/>
  <c r="H7" i="44"/>
  <c r="G7" i="44"/>
  <c r="F7" i="44"/>
  <c r="H6" i="44"/>
  <c r="F6" i="44" s="1"/>
  <c r="G6" i="44"/>
  <c r="H5" i="44"/>
  <c r="G5" i="44"/>
  <c r="F5" i="44"/>
  <c r="AD3" i="44"/>
  <c r="AC3" i="44"/>
  <c r="AB3" i="44"/>
  <c r="AA3" i="44"/>
  <c r="Z3" i="44"/>
  <c r="Y3" i="44"/>
  <c r="X3" i="44"/>
  <c r="W3" i="44"/>
  <c r="V3" i="44"/>
  <c r="U3" i="44"/>
  <c r="T3" i="44"/>
  <c r="S3" i="44"/>
  <c r="R3" i="44"/>
  <c r="Q3" i="44"/>
  <c r="P3" i="44"/>
  <c r="O3" i="44"/>
  <c r="N3" i="44"/>
  <c r="M3" i="44"/>
  <c r="L3" i="44"/>
  <c r="K3" i="44"/>
  <c r="J3" i="44"/>
  <c r="I3" i="44"/>
  <c r="J1" i="44"/>
  <c r="K1" i="44" s="1"/>
  <c r="I1" i="44"/>
  <c r="I2" i="44" s="1"/>
  <c r="E8" i="41"/>
  <c r="E9" i="41"/>
  <c r="E10" i="41"/>
  <c r="E11" i="41"/>
  <c r="E12" i="41"/>
  <c r="E13" i="41"/>
  <c r="E14" i="41"/>
  <c r="E15" i="41"/>
  <c r="E16" i="41"/>
  <c r="E17" i="41"/>
  <c r="E18" i="41"/>
  <c r="E19" i="41"/>
  <c r="E7" i="41"/>
  <c r="L6" i="2"/>
  <c r="E20" i="33" l="1"/>
  <c r="F20" i="33" s="1"/>
  <c r="G20" i="33" s="1"/>
  <c r="L1" i="52"/>
  <c r="K2" i="52"/>
  <c r="J2" i="52"/>
  <c r="L1" i="50"/>
  <c r="K2" i="50"/>
  <c r="J2" i="50"/>
  <c r="K1" i="47"/>
  <c r="J2" i="47"/>
  <c r="I2" i="47"/>
  <c r="K1" i="46"/>
  <c r="J2" i="46"/>
  <c r="I2" i="46"/>
  <c r="L1" i="45"/>
  <c r="K2" i="45"/>
  <c r="J2" i="45"/>
  <c r="L1" i="44"/>
  <c r="K2" i="44"/>
  <c r="J2" i="44"/>
  <c r="F4" i="41"/>
  <c r="D35" i="9"/>
  <c r="E35" i="9" s="1"/>
  <c r="F35" i="9" s="1"/>
  <c r="D36" i="9"/>
  <c r="E36" i="9" s="1"/>
  <c r="F36" i="9" s="1"/>
  <c r="D37" i="9"/>
  <c r="E37" i="9" s="1"/>
  <c r="F37" i="9" s="1"/>
  <c r="D38" i="9"/>
  <c r="E38" i="9" s="1"/>
  <c r="F38" i="9" s="1"/>
  <c r="D39" i="9"/>
  <c r="E39" i="9" s="1"/>
  <c r="F39" i="9" s="1"/>
  <c r="P1" i="9"/>
  <c r="F6" i="2"/>
  <c r="H22" i="34"/>
  <c r="F22" i="34" s="1"/>
  <c r="G22" i="34"/>
  <c r="H21" i="34"/>
  <c r="F21" i="34" s="1"/>
  <c r="G21" i="34"/>
  <c r="H20" i="34"/>
  <c r="F20" i="34" s="1"/>
  <c r="G20" i="34"/>
  <c r="H19" i="34"/>
  <c r="F19" i="34" s="1"/>
  <c r="G19" i="34"/>
  <c r="H18" i="34"/>
  <c r="F18" i="34" s="1"/>
  <c r="G18" i="34"/>
  <c r="H17" i="34"/>
  <c r="F17" i="34" s="1"/>
  <c r="G17" i="34"/>
  <c r="H16" i="34"/>
  <c r="F16" i="34" s="1"/>
  <c r="G16" i="34"/>
  <c r="H15" i="34"/>
  <c r="F15" i="34" s="1"/>
  <c r="G15" i="34"/>
  <c r="H14" i="34"/>
  <c r="F14" i="34" s="1"/>
  <c r="G14" i="34"/>
  <c r="H13" i="34"/>
  <c r="F13" i="34" s="1"/>
  <c r="G13" i="34"/>
  <c r="H12" i="34"/>
  <c r="F12" i="34" s="1"/>
  <c r="G12" i="34"/>
  <c r="H11" i="34"/>
  <c r="F11" i="34" s="1"/>
  <c r="G11" i="34"/>
  <c r="H10" i="34"/>
  <c r="F10" i="34" s="1"/>
  <c r="G10" i="34"/>
  <c r="H9" i="34"/>
  <c r="F9" i="34" s="1"/>
  <c r="G9" i="34"/>
  <c r="H8" i="34"/>
  <c r="F8" i="34" s="1"/>
  <c r="G8" i="34"/>
  <c r="H7" i="34"/>
  <c r="F7" i="34" s="1"/>
  <c r="G7" i="34"/>
  <c r="H6" i="34"/>
  <c r="F6" i="34" s="1"/>
  <c r="G6" i="34"/>
  <c r="H5" i="34"/>
  <c r="F5" i="34" s="1"/>
  <c r="G5" i="34"/>
  <c r="AD3" i="34"/>
  <c r="AC3" i="34"/>
  <c r="AB3" i="34"/>
  <c r="AA3" i="34"/>
  <c r="Z3" i="34"/>
  <c r="Y3" i="34"/>
  <c r="X3" i="34"/>
  <c r="W3" i="34"/>
  <c r="V3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I1" i="34"/>
  <c r="I2" i="34" s="1"/>
  <c r="M1" i="52" l="1"/>
  <c r="L2" i="52"/>
  <c r="L2" i="50"/>
  <c r="M1" i="50"/>
  <c r="L1" i="47"/>
  <c r="K2" i="47"/>
  <c r="K2" i="46"/>
  <c r="L1" i="46"/>
  <c r="L2" i="45"/>
  <c r="M1" i="45"/>
  <c r="M1" i="44"/>
  <c r="L2" i="44"/>
  <c r="F8" i="41"/>
  <c r="G8" i="41" s="1"/>
  <c r="H8" i="41" s="1"/>
  <c r="F16" i="41"/>
  <c r="G16" i="41" s="1"/>
  <c r="H16" i="41" s="1"/>
  <c r="I13" i="41"/>
  <c r="F12" i="41"/>
  <c r="G12" i="41" s="1"/>
  <c r="H12" i="41" s="1"/>
  <c r="I9" i="41"/>
  <c r="I17" i="41"/>
  <c r="F7" i="41"/>
  <c r="I8" i="41"/>
  <c r="F11" i="41"/>
  <c r="G11" i="41" s="1"/>
  <c r="H11" i="41" s="1"/>
  <c r="I12" i="41"/>
  <c r="F15" i="41"/>
  <c r="G15" i="41" s="1"/>
  <c r="H15" i="41" s="1"/>
  <c r="I16" i="41"/>
  <c r="I19" i="41"/>
  <c r="I7" i="41"/>
  <c r="F10" i="41"/>
  <c r="G10" i="41" s="1"/>
  <c r="H10" i="41" s="1"/>
  <c r="I11" i="41"/>
  <c r="F14" i="41"/>
  <c r="G14" i="41" s="1"/>
  <c r="H14" i="41" s="1"/>
  <c r="I15" i="41"/>
  <c r="F9" i="41"/>
  <c r="G9" i="41" s="1"/>
  <c r="H9" i="41" s="1"/>
  <c r="I10" i="41"/>
  <c r="F13" i="41"/>
  <c r="G13" i="41" s="1"/>
  <c r="H13" i="41" s="1"/>
  <c r="I14" i="41"/>
  <c r="F17" i="41"/>
  <c r="G17" i="41" s="1"/>
  <c r="H17" i="41" s="1"/>
  <c r="I18" i="41"/>
  <c r="F18" i="41"/>
  <c r="G18" i="41" s="1"/>
  <c r="H18" i="41" s="1"/>
  <c r="F19" i="41"/>
  <c r="G19" i="41" s="1"/>
  <c r="H19" i="41" s="1"/>
  <c r="J1" i="34"/>
  <c r="N1" i="52" l="1"/>
  <c r="M2" i="52"/>
  <c r="N1" i="50"/>
  <c r="M2" i="50"/>
  <c r="L2" i="47"/>
  <c r="M1" i="47"/>
  <c r="M1" i="46"/>
  <c r="L2" i="46"/>
  <c r="N1" i="45"/>
  <c r="M2" i="45"/>
  <c r="N1" i="44"/>
  <c r="M2" i="44"/>
  <c r="G7" i="41"/>
  <c r="H7" i="41" s="1"/>
  <c r="I6" i="41"/>
  <c r="J2" i="34"/>
  <c r="K1" i="34"/>
  <c r="O1" i="52" l="1"/>
  <c r="N2" i="52"/>
  <c r="O1" i="50"/>
  <c r="N2" i="50"/>
  <c r="N1" i="47"/>
  <c r="M2" i="47"/>
  <c r="M2" i="46"/>
  <c r="N1" i="46"/>
  <c r="O1" i="45"/>
  <c r="N2" i="45"/>
  <c r="O1" i="44"/>
  <c r="N2" i="44"/>
  <c r="K2" i="34"/>
  <c r="L1" i="34"/>
  <c r="O2" i="52" l="1"/>
  <c r="P1" i="52"/>
  <c r="P1" i="50"/>
  <c r="O2" i="50"/>
  <c r="O1" i="47"/>
  <c r="N2" i="47"/>
  <c r="O1" i="46"/>
  <c r="N2" i="46"/>
  <c r="O2" i="45"/>
  <c r="P1" i="45"/>
  <c r="O2" i="44"/>
  <c r="P1" i="44"/>
  <c r="L2" i="34"/>
  <c r="M1" i="34"/>
  <c r="P2" i="52" l="1"/>
  <c r="Q1" i="52"/>
  <c r="P2" i="50"/>
  <c r="Q1" i="50"/>
  <c r="P1" i="47"/>
  <c r="O2" i="47"/>
  <c r="O2" i="46"/>
  <c r="P1" i="46"/>
  <c r="Q1" i="45"/>
  <c r="P2" i="45"/>
  <c r="P2" i="44"/>
  <c r="Q1" i="44"/>
  <c r="M2" i="34"/>
  <c r="N1" i="34"/>
  <c r="R19" i="33"/>
  <c r="R1" i="52" l="1"/>
  <c r="Q2" i="52"/>
  <c r="R1" i="50"/>
  <c r="Q2" i="50"/>
  <c r="P2" i="47"/>
  <c r="Q1" i="47"/>
  <c r="Q1" i="46"/>
  <c r="P2" i="46"/>
  <c r="R1" i="45"/>
  <c r="Q2" i="45"/>
  <c r="R1" i="44"/>
  <c r="Q2" i="44"/>
  <c r="N2" i="34"/>
  <c r="O1" i="34"/>
  <c r="S7" i="33"/>
  <c r="J10" i="33"/>
  <c r="J7" i="33"/>
  <c r="Q7" i="33"/>
  <c r="J8" i="33"/>
  <c r="R8" i="33"/>
  <c r="R9" i="33"/>
  <c r="J11" i="33"/>
  <c r="R12" i="33"/>
  <c r="R16" i="33"/>
  <c r="R17" i="33"/>
  <c r="K7" i="33"/>
  <c r="J9" i="33"/>
  <c r="R13" i="33"/>
  <c r="E7" i="33"/>
  <c r="D7" i="33" s="1"/>
  <c r="F7" i="33" s="1"/>
  <c r="G7" i="33" s="1"/>
  <c r="N7" i="33"/>
  <c r="E8" i="33"/>
  <c r="D8" i="33" s="1"/>
  <c r="F8" i="33" s="1"/>
  <c r="G8" i="33" s="1"/>
  <c r="N8" i="33"/>
  <c r="N9" i="33"/>
  <c r="O10" i="33"/>
  <c r="R11" i="33"/>
  <c r="R14" i="33"/>
  <c r="R18" i="33"/>
  <c r="K8" i="33"/>
  <c r="O11" i="33"/>
  <c r="I7" i="33"/>
  <c r="O7" i="33"/>
  <c r="I8" i="33"/>
  <c r="O8" i="33"/>
  <c r="O9" i="33"/>
  <c r="R10" i="33"/>
  <c r="J12" i="33"/>
  <c r="R15" i="33"/>
  <c r="Q19" i="33"/>
  <c r="M19" i="33"/>
  <c r="I19" i="33"/>
  <c r="E19" i="33"/>
  <c r="D19" i="33" s="1"/>
  <c r="F19" i="33" s="1"/>
  <c r="G19" i="33" s="1"/>
  <c r="Q18" i="33"/>
  <c r="M18" i="33"/>
  <c r="I18" i="33"/>
  <c r="E18" i="33"/>
  <c r="D18" i="33" s="1"/>
  <c r="F18" i="33" s="1"/>
  <c r="G18" i="33" s="1"/>
  <c r="Q17" i="33"/>
  <c r="M17" i="33"/>
  <c r="I17" i="33"/>
  <c r="E17" i="33"/>
  <c r="D17" i="33" s="1"/>
  <c r="F17" i="33" s="1"/>
  <c r="G17" i="33" s="1"/>
  <c r="Q16" i="33"/>
  <c r="M16" i="33"/>
  <c r="I16" i="33"/>
  <c r="E16" i="33"/>
  <c r="D16" i="33" s="1"/>
  <c r="F16" i="33" s="1"/>
  <c r="G16" i="33" s="1"/>
  <c r="Q15" i="33"/>
  <c r="M15" i="33"/>
  <c r="I15" i="33"/>
  <c r="E15" i="33"/>
  <c r="D15" i="33" s="1"/>
  <c r="F15" i="33" s="1"/>
  <c r="G15" i="33" s="1"/>
  <c r="Q14" i="33"/>
  <c r="M14" i="33"/>
  <c r="I14" i="33"/>
  <c r="E14" i="33"/>
  <c r="D14" i="33" s="1"/>
  <c r="F14" i="33" s="1"/>
  <c r="G14" i="33" s="1"/>
  <c r="Q13" i="33"/>
  <c r="M13" i="33"/>
  <c r="I13" i="33"/>
  <c r="E13" i="33"/>
  <c r="D13" i="33" s="1"/>
  <c r="F13" i="33" s="1"/>
  <c r="G13" i="33" s="1"/>
  <c r="Q12" i="33"/>
  <c r="M12" i="33"/>
  <c r="I12" i="33"/>
  <c r="E12" i="33"/>
  <c r="D12" i="33" s="1"/>
  <c r="F12" i="33" s="1"/>
  <c r="G12" i="33" s="1"/>
  <c r="Q11" i="33"/>
  <c r="M11" i="33"/>
  <c r="I11" i="33"/>
  <c r="E11" i="33"/>
  <c r="D11" i="33" s="1"/>
  <c r="F11" i="33" s="1"/>
  <c r="G11" i="33" s="1"/>
  <c r="Q10" i="33"/>
  <c r="M10" i="33"/>
  <c r="I10" i="33"/>
  <c r="E10" i="33"/>
  <c r="D10" i="33" s="1"/>
  <c r="F10" i="33" s="1"/>
  <c r="G10" i="33" s="1"/>
  <c r="Q9" i="33"/>
  <c r="M9" i="33"/>
  <c r="I9" i="33"/>
  <c r="E9" i="33"/>
  <c r="D9" i="33" s="1"/>
  <c r="F9" i="33" s="1"/>
  <c r="G9" i="33" s="1"/>
  <c r="Q8" i="33"/>
  <c r="P19" i="33"/>
  <c r="L19" i="33"/>
  <c r="H19" i="33"/>
  <c r="P18" i="33"/>
  <c r="L18" i="33"/>
  <c r="H18" i="33"/>
  <c r="P17" i="33"/>
  <c r="L17" i="33"/>
  <c r="H17" i="33"/>
  <c r="P16" i="33"/>
  <c r="L16" i="33"/>
  <c r="H16" i="33"/>
  <c r="P15" i="33"/>
  <c r="L15" i="33"/>
  <c r="H15" i="33"/>
  <c r="P14" i="33"/>
  <c r="L14" i="33"/>
  <c r="H14" i="33"/>
  <c r="P13" i="33"/>
  <c r="L13" i="33"/>
  <c r="H13" i="33"/>
  <c r="P12" i="33"/>
  <c r="L12" i="33"/>
  <c r="H12" i="33"/>
  <c r="P11" i="33"/>
  <c r="L11" i="33"/>
  <c r="H11" i="33"/>
  <c r="P10" i="33"/>
  <c r="L10" i="33"/>
  <c r="H10" i="33"/>
  <c r="P9" i="33"/>
  <c r="L9" i="33"/>
  <c r="H9" i="33"/>
  <c r="P8" i="33"/>
  <c r="L8" i="33"/>
  <c r="H8" i="33"/>
  <c r="P7" i="33"/>
  <c r="L7" i="33"/>
  <c r="H7" i="33"/>
  <c r="S19" i="33"/>
  <c r="O19" i="33"/>
  <c r="K19" i="33"/>
  <c r="S18" i="33"/>
  <c r="O18" i="33"/>
  <c r="K18" i="33"/>
  <c r="S17" i="33"/>
  <c r="O17" i="33"/>
  <c r="K17" i="33"/>
  <c r="S16" i="33"/>
  <c r="O16" i="33"/>
  <c r="K16" i="33"/>
  <c r="S15" i="33"/>
  <c r="O15" i="33"/>
  <c r="K15" i="33"/>
  <c r="S14" i="33"/>
  <c r="O14" i="33"/>
  <c r="K14" i="33"/>
  <c r="S13" i="33"/>
  <c r="O13" i="33"/>
  <c r="K13" i="33"/>
  <c r="S12" i="33"/>
  <c r="O12" i="33"/>
  <c r="M7" i="33"/>
  <c r="R7" i="33"/>
  <c r="M8" i="33"/>
  <c r="S8" i="33"/>
  <c r="K9" i="33"/>
  <c r="S9" i="33"/>
  <c r="K10" i="33"/>
  <c r="S10" i="33"/>
  <c r="K11" i="33"/>
  <c r="S11" i="33"/>
  <c r="K12" i="33"/>
  <c r="J13" i="33"/>
  <c r="J14" i="33"/>
  <c r="J15" i="33"/>
  <c r="J16" i="33"/>
  <c r="J17" i="33"/>
  <c r="J18" i="33"/>
  <c r="J19" i="33"/>
  <c r="N10" i="33"/>
  <c r="N11" i="33"/>
  <c r="N12" i="33"/>
  <c r="N13" i="33"/>
  <c r="N14" i="33"/>
  <c r="N15" i="33"/>
  <c r="N16" i="33"/>
  <c r="N17" i="33"/>
  <c r="N18" i="33"/>
  <c r="N19" i="33"/>
  <c r="S1" i="52" l="1"/>
  <c r="R2" i="52"/>
  <c r="S1" i="50"/>
  <c r="R2" i="50"/>
  <c r="R1" i="47"/>
  <c r="Q2" i="47"/>
  <c r="R1" i="46"/>
  <c r="Q2" i="46"/>
  <c r="S1" i="45"/>
  <c r="R2" i="45"/>
  <c r="S1" i="44"/>
  <c r="R2" i="44"/>
  <c r="P1" i="34"/>
  <c r="O2" i="34"/>
  <c r="I6" i="33"/>
  <c r="R6" i="33"/>
  <c r="P6" i="33"/>
  <c r="H6" i="33"/>
  <c r="L6" i="33"/>
  <c r="Q6" i="33"/>
  <c r="K6" i="33"/>
  <c r="O6" i="33"/>
  <c r="M6" i="33"/>
  <c r="J6" i="33"/>
  <c r="S6" i="33"/>
  <c r="N6" i="33"/>
  <c r="D34" i="9"/>
  <c r="E34" i="9" s="1"/>
  <c r="F34" i="9" s="1"/>
  <c r="T1" i="52" l="1"/>
  <c r="S2" i="52"/>
  <c r="T1" i="50"/>
  <c r="S2" i="50"/>
  <c r="S1" i="47"/>
  <c r="R2" i="47"/>
  <c r="S1" i="46"/>
  <c r="R2" i="46"/>
  <c r="T1" i="45"/>
  <c r="S2" i="45"/>
  <c r="T1" i="44"/>
  <c r="S2" i="44"/>
  <c r="P2" i="34"/>
  <c r="Q1" i="34"/>
  <c r="D8" i="9"/>
  <c r="D12" i="9"/>
  <c r="D16" i="9"/>
  <c r="D20" i="9"/>
  <c r="D24" i="9"/>
  <c r="D28" i="9"/>
  <c r="D32" i="9"/>
  <c r="D9" i="9"/>
  <c r="D13" i="9"/>
  <c r="D17" i="9"/>
  <c r="D21" i="9"/>
  <c r="D25" i="9"/>
  <c r="D29" i="9"/>
  <c r="D33" i="9"/>
  <c r="D10" i="9"/>
  <c r="D14" i="9"/>
  <c r="D18" i="9"/>
  <c r="D22" i="9"/>
  <c r="D26" i="9"/>
  <c r="D30" i="9"/>
  <c r="D11" i="9"/>
  <c r="D15" i="9"/>
  <c r="D19" i="9"/>
  <c r="D23" i="9"/>
  <c r="D27" i="9"/>
  <c r="D31" i="9"/>
  <c r="D7" i="9"/>
  <c r="U1" i="52" l="1"/>
  <c r="T2" i="52"/>
  <c r="T2" i="50"/>
  <c r="U1" i="50"/>
  <c r="T1" i="47"/>
  <c r="S2" i="47"/>
  <c r="S2" i="46"/>
  <c r="T1" i="46"/>
  <c r="T2" i="45"/>
  <c r="U1" i="45"/>
  <c r="U1" i="44"/>
  <c r="T2" i="44"/>
  <c r="Q2" i="34"/>
  <c r="R1" i="34"/>
  <c r="E8" i="9"/>
  <c r="F8" i="9" s="1"/>
  <c r="E12" i="9"/>
  <c r="F12" i="9" s="1"/>
  <c r="E16" i="9"/>
  <c r="F16" i="9" s="1"/>
  <c r="E20" i="9"/>
  <c r="F20" i="9" s="1"/>
  <c r="E24" i="9"/>
  <c r="F24" i="9" s="1"/>
  <c r="E28" i="9"/>
  <c r="F28" i="9" s="1"/>
  <c r="E32" i="9"/>
  <c r="F32" i="9" s="1"/>
  <c r="E11" i="9"/>
  <c r="F11" i="9" s="1"/>
  <c r="E19" i="9"/>
  <c r="F19" i="9" s="1"/>
  <c r="E27" i="9"/>
  <c r="F27" i="9" s="1"/>
  <c r="E9" i="9"/>
  <c r="F9" i="9" s="1"/>
  <c r="E13" i="9"/>
  <c r="F13" i="9" s="1"/>
  <c r="E17" i="9"/>
  <c r="F17" i="9" s="1"/>
  <c r="E21" i="9"/>
  <c r="F21" i="9" s="1"/>
  <c r="E25" i="9"/>
  <c r="F25" i="9" s="1"/>
  <c r="E29" i="9"/>
  <c r="F29" i="9" s="1"/>
  <c r="E33" i="9"/>
  <c r="F33" i="9" s="1"/>
  <c r="E15" i="9"/>
  <c r="F15" i="9" s="1"/>
  <c r="E23" i="9"/>
  <c r="F23" i="9" s="1"/>
  <c r="E31" i="9"/>
  <c r="F31" i="9" s="1"/>
  <c r="E10" i="9"/>
  <c r="F10" i="9" s="1"/>
  <c r="E14" i="9"/>
  <c r="F14" i="9" s="1"/>
  <c r="E18" i="9"/>
  <c r="F18" i="9" s="1"/>
  <c r="E22" i="9"/>
  <c r="F22" i="9" s="1"/>
  <c r="E26" i="9"/>
  <c r="F26" i="9" s="1"/>
  <c r="E30" i="9"/>
  <c r="F30" i="9" s="1"/>
  <c r="V1" i="52" l="1"/>
  <c r="U2" i="52"/>
  <c r="V1" i="50"/>
  <c r="U2" i="50"/>
  <c r="T2" i="47"/>
  <c r="U1" i="47"/>
  <c r="U1" i="46"/>
  <c r="T2" i="46"/>
  <c r="V1" i="45"/>
  <c r="U2" i="45"/>
  <c r="V1" i="44"/>
  <c r="U2" i="44"/>
  <c r="R2" i="34"/>
  <c r="S1" i="34"/>
  <c r="E9" i="2"/>
  <c r="F9" i="2" s="1"/>
  <c r="G9" i="2" s="1"/>
  <c r="H9" i="2" s="1"/>
  <c r="I9" i="2" s="1"/>
  <c r="W1" i="52" l="1"/>
  <c r="V2" i="52"/>
  <c r="W1" i="50"/>
  <c r="V2" i="50"/>
  <c r="U2" i="47"/>
  <c r="V1" i="47"/>
  <c r="U2" i="46"/>
  <c r="V1" i="46"/>
  <c r="W1" i="45"/>
  <c r="V2" i="45"/>
  <c r="W1" i="44"/>
  <c r="V2" i="44"/>
  <c r="S2" i="34"/>
  <c r="T1" i="34"/>
  <c r="W2" i="52" l="1"/>
  <c r="X1" i="52"/>
  <c r="X1" i="50"/>
  <c r="W2" i="50"/>
  <c r="W1" i="47"/>
  <c r="V2" i="47"/>
  <c r="W1" i="46"/>
  <c r="V2" i="46"/>
  <c r="W2" i="45"/>
  <c r="X1" i="45"/>
  <c r="W2" i="44"/>
  <c r="X1" i="44"/>
  <c r="T2" i="34"/>
  <c r="U1" i="34"/>
  <c r="X2" i="52" l="1"/>
  <c r="Y1" i="52"/>
  <c r="X2" i="50"/>
  <c r="Y1" i="50"/>
  <c r="X1" i="47"/>
  <c r="W2" i="47"/>
  <c r="W2" i="46"/>
  <c r="X1" i="46"/>
  <c r="Y1" i="45"/>
  <c r="X2" i="45"/>
  <c r="X2" i="44"/>
  <c r="Y1" i="44"/>
  <c r="U2" i="34"/>
  <c r="V1" i="34"/>
  <c r="E7" i="9"/>
  <c r="F7" i="9" s="1"/>
  <c r="Z1" i="52" l="1"/>
  <c r="Y2" i="52"/>
  <c r="Z1" i="50"/>
  <c r="Y2" i="50"/>
  <c r="X2" i="47"/>
  <c r="Y1" i="47"/>
  <c r="X2" i="46"/>
  <c r="Y1" i="46"/>
  <c r="Z1" i="45"/>
  <c r="Y2" i="45"/>
  <c r="Z1" i="44"/>
  <c r="Y2" i="44"/>
  <c r="V2" i="34"/>
  <c r="W1" i="34"/>
  <c r="AA1" i="52" l="1"/>
  <c r="Z2" i="52"/>
  <c r="AA1" i="50"/>
  <c r="Z2" i="50"/>
  <c r="Y2" i="47"/>
  <c r="Z1" i="47"/>
  <c r="Z1" i="46"/>
  <c r="Y2" i="46"/>
  <c r="AA1" i="45"/>
  <c r="Z2" i="45"/>
  <c r="AA1" i="44"/>
  <c r="Z2" i="44"/>
  <c r="W2" i="34"/>
  <c r="X1" i="34"/>
  <c r="D8" i="2"/>
  <c r="AB1" i="52" l="1"/>
  <c r="AA2" i="52"/>
  <c r="AB1" i="50"/>
  <c r="AA2" i="50"/>
  <c r="AA1" i="47"/>
  <c r="Z2" i="47"/>
  <c r="AA1" i="46"/>
  <c r="Z2" i="46"/>
  <c r="AB1" i="45"/>
  <c r="AA2" i="45"/>
  <c r="AB1" i="44"/>
  <c r="AA2" i="44"/>
  <c r="X2" i="34"/>
  <c r="Y1" i="34"/>
  <c r="AB2" i="52" l="1"/>
  <c r="AC1" i="52"/>
  <c r="AB2" i="50"/>
  <c r="AC1" i="50"/>
  <c r="AB1" i="47"/>
  <c r="AA2" i="47"/>
  <c r="AB1" i="46"/>
  <c r="AA2" i="46"/>
  <c r="AB2" i="45"/>
  <c r="AC1" i="45"/>
  <c r="AC1" i="44"/>
  <c r="AB2" i="44"/>
  <c r="Y2" i="34"/>
  <c r="Z1" i="34"/>
  <c r="AD1" i="52" l="1"/>
  <c r="AC2" i="52"/>
  <c r="AD1" i="50"/>
  <c r="AC2" i="50"/>
  <c r="AB2" i="47"/>
  <c r="AC1" i="47"/>
  <c r="AB2" i="46"/>
  <c r="AC1" i="46"/>
  <c r="AD1" i="45"/>
  <c r="AC2" i="45"/>
  <c r="AD1" i="44"/>
  <c r="AC2" i="44"/>
  <c r="Z2" i="34"/>
  <c r="AA1" i="34"/>
  <c r="E9" i="7"/>
  <c r="F9" i="7" s="1"/>
  <c r="G9" i="7" s="1"/>
  <c r="H9" i="7" s="1"/>
  <c r="I9" i="7" s="1"/>
  <c r="D8" i="7"/>
  <c r="E8" i="7" s="1"/>
  <c r="F8" i="7" s="1"/>
  <c r="G8" i="7" s="1"/>
  <c r="H8" i="7" s="1"/>
  <c r="I8" i="7" s="1"/>
  <c r="F6" i="7"/>
  <c r="AE1" i="52" l="1"/>
  <c r="AD2" i="52"/>
  <c r="AE1" i="50"/>
  <c r="AD2" i="50"/>
  <c r="AD1" i="47"/>
  <c r="AC2" i="47"/>
  <c r="AC2" i="46"/>
  <c r="AD1" i="46"/>
  <c r="AE1" i="45"/>
  <c r="AD2" i="45"/>
  <c r="AE1" i="44"/>
  <c r="AD2" i="44"/>
  <c r="AB1" i="34"/>
  <c r="AA2" i="34"/>
  <c r="AE2" i="52" l="1"/>
  <c r="AF1" i="52"/>
  <c r="AF1" i="50"/>
  <c r="AE2" i="50"/>
  <c r="AE1" i="47"/>
  <c r="AD2" i="47"/>
  <c r="AE1" i="46"/>
  <c r="AD2" i="46"/>
  <c r="AE2" i="45"/>
  <c r="AF1" i="45"/>
  <c r="AE2" i="44"/>
  <c r="AF1" i="44"/>
  <c r="AB2" i="34"/>
  <c r="AC1" i="34"/>
  <c r="AF2" i="52" l="1"/>
  <c r="AG1" i="52"/>
  <c r="AF2" i="50"/>
  <c r="AG1" i="50"/>
  <c r="AF1" i="47"/>
  <c r="AE2" i="47"/>
  <c r="AE2" i="46"/>
  <c r="AF1" i="46"/>
  <c r="AG1" i="45"/>
  <c r="AF2" i="45"/>
  <c r="AF2" i="44"/>
  <c r="AG1" i="44"/>
  <c r="AC2" i="34"/>
  <c r="AD1" i="34"/>
  <c r="AH1" i="52" l="1"/>
  <c r="AG2" i="52"/>
  <c r="AH1" i="50"/>
  <c r="AG2" i="50"/>
  <c r="AF2" i="47"/>
  <c r="AG1" i="47"/>
  <c r="AG1" i="46"/>
  <c r="AF2" i="46"/>
  <c r="AH1" i="45"/>
  <c r="AG2" i="45"/>
  <c r="AH1" i="44"/>
  <c r="AG2" i="44"/>
  <c r="AD2" i="34"/>
  <c r="AE1" i="34"/>
  <c r="AI1" i="52" l="1"/>
  <c r="AH2" i="52"/>
  <c r="AI1" i="50"/>
  <c r="AH2" i="50"/>
  <c r="AG2" i="47"/>
  <c r="AH1" i="47"/>
  <c r="AH1" i="46"/>
  <c r="AG2" i="46"/>
  <c r="AI1" i="45"/>
  <c r="AH2" i="45"/>
  <c r="AI1" i="44"/>
  <c r="AH2" i="44"/>
  <c r="AE2" i="34"/>
  <c r="AF1" i="34"/>
  <c r="AJ1" i="52" l="1"/>
  <c r="AI2" i="52"/>
  <c r="AJ1" i="50"/>
  <c r="AI2" i="50"/>
  <c r="AI1" i="47"/>
  <c r="AH2" i="47"/>
  <c r="AI1" i="46"/>
  <c r="AH2" i="46"/>
  <c r="AJ1" i="45"/>
  <c r="AI2" i="45"/>
  <c r="AJ1" i="44"/>
  <c r="AI2" i="44"/>
  <c r="AF2" i="34"/>
  <c r="AG1" i="34"/>
  <c r="E8" i="2"/>
  <c r="F8" i="2" s="1"/>
  <c r="G8" i="2" s="1"/>
  <c r="H8" i="2" s="1"/>
  <c r="I8" i="2" s="1"/>
  <c r="AJ2" i="52" l="1"/>
  <c r="AK1" i="52"/>
  <c r="AJ2" i="50"/>
  <c r="AK1" i="50"/>
  <c r="AJ1" i="47"/>
  <c r="AI2" i="47"/>
  <c r="AI2" i="46"/>
  <c r="AJ1" i="46"/>
  <c r="AJ2" i="45"/>
  <c r="AK1" i="45"/>
  <c r="AK1" i="44"/>
  <c r="AJ2" i="44"/>
  <c r="AG2" i="34"/>
  <c r="AH1" i="34"/>
  <c r="AL1" i="52" l="1"/>
  <c r="AK2" i="52"/>
  <c r="AL1" i="50"/>
  <c r="AK2" i="50"/>
  <c r="AJ2" i="47"/>
  <c r="AK1" i="47"/>
  <c r="AK1" i="46"/>
  <c r="AJ2" i="46"/>
  <c r="AL1" i="45"/>
  <c r="AK2" i="45"/>
  <c r="AL1" i="44"/>
  <c r="AK2" i="44"/>
  <c r="AH2" i="34"/>
  <c r="AI1" i="34"/>
  <c r="AM1" i="52" l="1"/>
  <c r="AL2" i="52"/>
  <c r="AM1" i="50"/>
  <c r="AL2" i="50"/>
  <c r="AL1" i="47"/>
  <c r="AK2" i="47"/>
  <c r="AK2" i="46"/>
  <c r="AL1" i="46"/>
  <c r="AM1" i="45"/>
  <c r="AL2" i="45"/>
  <c r="AM1" i="44"/>
  <c r="AL2" i="44"/>
  <c r="AI2" i="34"/>
  <c r="AJ1" i="34"/>
  <c r="AM2" i="52" l="1"/>
  <c r="AN1" i="52"/>
  <c r="AN1" i="50"/>
  <c r="AM2" i="50"/>
  <c r="AM1" i="47"/>
  <c r="AL2" i="47"/>
  <c r="AM1" i="46"/>
  <c r="AL2" i="46"/>
  <c r="AM2" i="45"/>
  <c r="AN1" i="45"/>
  <c r="AM2" i="44"/>
  <c r="AN1" i="44"/>
  <c r="AJ2" i="34"/>
  <c r="AK1" i="34"/>
  <c r="AN2" i="52" l="1"/>
  <c r="AO1" i="52"/>
  <c r="AN2" i="50"/>
  <c r="AO1" i="50"/>
  <c r="AN1" i="47"/>
  <c r="AM2" i="47"/>
  <c r="AM2" i="46"/>
  <c r="AN1" i="46"/>
  <c r="AO1" i="45"/>
  <c r="AN2" i="45"/>
  <c r="AO1" i="44"/>
  <c r="AN2" i="44"/>
  <c r="AK2" i="34"/>
  <c r="AL1" i="34"/>
  <c r="AP1" i="52" l="1"/>
  <c r="AO2" i="52"/>
  <c r="AP1" i="50"/>
  <c r="AO2" i="50"/>
  <c r="AN2" i="47"/>
  <c r="AO1" i="47"/>
  <c r="AO1" i="46"/>
  <c r="AN2" i="46"/>
  <c r="AP1" i="45"/>
  <c r="AO2" i="45"/>
  <c r="AP1" i="44"/>
  <c r="AO2" i="44"/>
  <c r="AL2" i="34"/>
  <c r="AM1" i="34"/>
  <c r="AQ1" i="52" l="1"/>
  <c r="AP2" i="52"/>
  <c r="AQ1" i="50"/>
  <c r="AP2" i="50"/>
  <c r="AP1" i="47"/>
  <c r="AO2" i="47"/>
  <c r="AP1" i="46"/>
  <c r="AO2" i="46"/>
  <c r="AQ1" i="45"/>
  <c r="AP2" i="45"/>
  <c r="AQ1" i="44"/>
  <c r="AP2" i="44"/>
  <c r="AM2" i="34"/>
  <c r="AN1" i="34"/>
  <c r="AQ2" i="52" l="1"/>
  <c r="AR1" i="52"/>
  <c r="AR1" i="50"/>
  <c r="AQ2" i="50"/>
  <c r="AQ1" i="47"/>
  <c r="AP2" i="47"/>
  <c r="AQ1" i="46"/>
  <c r="AP2" i="46"/>
  <c r="AR1" i="45"/>
  <c r="AQ2" i="45"/>
  <c r="AR1" i="44"/>
  <c r="AQ2" i="44"/>
  <c r="AN2" i="34"/>
  <c r="AO1" i="34"/>
  <c r="AR2" i="52" l="1"/>
  <c r="AS1" i="52"/>
  <c r="AR2" i="50"/>
  <c r="AS1" i="50"/>
  <c r="AR1" i="47"/>
  <c r="AQ2" i="47"/>
  <c r="AQ2" i="46"/>
  <c r="AR1" i="46"/>
  <c r="AS1" i="45"/>
  <c r="AR2" i="45"/>
  <c r="AS1" i="44"/>
  <c r="AR2" i="44"/>
  <c r="AO2" i="34"/>
  <c r="AP1" i="34"/>
  <c r="AT1" i="52" l="1"/>
  <c r="AS2" i="52"/>
  <c r="AT1" i="50"/>
  <c r="AS2" i="50"/>
  <c r="AR2" i="47"/>
  <c r="AS1" i="47"/>
  <c r="AS1" i="46"/>
  <c r="AR2" i="46"/>
  <c r="AT1" i="45"/>
  <c r="AS2" i="45"/>
  <c r="AT1" i="44"/>
  <c r="AS2" i="44"/>
  <c r="AP2" i="34"/>
  <c r="AQ1" i="34"/>
  <c r="AU1" i="52" l="1"/>
  <c r="AT2" i="52"/>
  <c r="AU1" i="50"/>
  <c r="AT2" i="50"/>
  <c r="AT1" i="47"/>
  <c r="AS2" i="47"/>
  <c r="AS2" i="46"/>
  <c r="AT1" i="46"/>
  <c r="AU1" i="45"/>
  <c r="AT2" i="45"/>
  <c r="AU1" i="44"/>
  <c r="AT2" i="44"/>
  <c r="AQ2" i="34"/>
  <c r="AR1" i="34"/>
  <c r="AV1" i="52" l="1"/>
  <c r="AU2" i="52"/>
  <c r="AV1" i="50"/>
  <c r="AU2" i="50"/>
  <c r="AU1" i="47"/>
  <c r="AT2" i="47"/>
  <c r="AU1" i="46"/>
  <c r="AT2" i="46"/>
  <c r="AU2" i="45"/>
  <c r="AV1" i="45"/>
  <c r="AU2" i="44"/>
  <c r="AV1" i="44"/>
  <c r="AR2" i="34"/>
  <c r="AS1" i="34"/>
  <c r="AV2" i="52" l="1"/>
  <c r="AW1" i="52"/>
  <c r="AV2" i="50"/>
  <c r="AW1" i="50"/>
  <c r="AV1" i="47"/>
  <c r="AU2" i="47"/>
  <c r="AV1" i="46"/>
  <c r="AU2" i="46"/>
  <c r="AW1" i="45"/>
  <c r="AV2" i="45"/>
  <c r="AW1" i="44"/>
  <c r="AV2" i="44"/>
  <c r="AS2" i="34"/>
  <c r="AT1" i="34"/>
  <c r="AX1" i="52" l="1"/>
  <c r="AW2" i="52"/>
  <c r="AX1" i="50"/>
  <c r="AW2" i="50"/>
  <c r="AV2" i="47"/>
  <c r="AW1" i="47"/>
  <c r="AW1" i="46"/>
  <c r="AV2" i="46"/>
  <c r="AX1" i="45"/>
  <c r="AW2" i="45"/>
  <c r="AX1" i="44"/>
  <c r="AW2" i="44"/>
  <c r="AT2" i="34"/>
  <c r="AU1" i="34"/>
  <c r="AY1" i="52" l="1"/>
  <c r="AX2" i="52"/>
  <c r="AY1" i="50"/>
  <c r="AX2" i="50"/>
  <c r="AX1" i="47"/>
  <c r="AW2" i="47"/>
  <c r="AX1" i="46"/>
  <c r="AW2" i="46"/>
  <c r="AY1" i="45"/>
  <c r="AX2" i="45"/>
  <c r="AY1" i="44"/>
  <c r="AX2" i="44"/>
  <c r="AU2" i="34"/>
  <c r="AV1" i="34"/>
  <c r="AY2" i="52" l="1"/>
  <c r="AZ1" i="52"/>
  <c r="AZ1" i="50"/>
  <c r="AY2" i="50"/>
  <c r="AY1" i="47"/>
  <c r="AX2" i="47"/>
  <c r="AY1" i="46"/>
  <c r="AX2" i="46"/>
  <c r="AZ1" i="45"/>
  <c r="AY2" i="45"/>
  <c r="AY2" i="44"/>
  <c r="AZ1" i="44"/>
  <c r="AV2" i="34"/>
  <c r="AW1" i="34"/>
  <c r="BA1" i="52" l="1"/>
  <c r="AZ2" i="52"/>
  <c r="AZ2" i="50"/>
  <c r="BA1" i="50"/>
  <c r="AZ1" i="47"/>
  <c r="AY2" i="47"/>
  <c r="AY2" i="46"/>
  <c r="AZ1" i="46"/>
  <c r="AZ2" i="45"/>
  <c r="BA1" i="45"/>
  <c r="AZ2" i="44"/>
  <c r="BA1" i="44"/>
  <c r="AW2" i="34"/>
  <c r="AX1" i="34"/>
  <c r="BB1" i="52" l="1"/>
  <c r="BA2" i="52"/>
  <c r="BB1" i="50"/>
  <c r="BA2" i="50"/>
  <c r="AZ2" i="47"/>
  <c r="BA1" i="47"/>
  <c r="BA1" i="46"/>
  <c r="AZ2" i="46"/>
  <c r="BB1" i="45"/>
  <c r="BA2" i="45"/>
  <c r="BB1" i="44"/>
  <c r="BA2" i="44"/>
  <c r="AY1" i="34"/>
  <c r="AX2" i="34"/>
  <c r="BC1" i="52" l="1"/>
  <c r="BB2" i="52"/>
  <c r="BC1" i="50"/>
  <c r="BB2" i="50"/>
  <c r="BB1" i="47"/>
  <c r="BA2" i="47"/>
  <c r="BB1" i="46"/>
  <c r="BA2" i="46"/>
  <c r="BC1" i="45"/>
  <c r="BB2" i="45"/>
  <c r="BC1" i="44"/>
  <c r="BB2" i="44"/>
  <c r="AY2" i="34"/>
  <c r="AZ1" i="34"/>
  <c r="BD1" i="52" l="1"/>
  <c r="BD2" i="52" s="1"/>
  <c r="BC2" i="52"/>
  <c r="BD1" i="50"/>
  <c r="BD2" i="50" s="1"/>
  <c r="BC2" i="50"/>
  <c r="BC1" i="47"/>
  <c r="BB2" i="47"/>
  <c r="BC1" i="46"/>
  <c r="BB2" i="46"/>
  <c r="BC2" i="45"/>
  <c r="BD1" i="45"/>
  <c r="BD2" i="45" s="1"/>
  <c r="BD1" i="44"/>
  <c r="BD2" i="44" s="1"/>
  <c r="BC2" i="44"/>
  <c r="AZ2" i="34"/>
  <c r="BA1" i="34"/>
  <c r="BD1" i="47" l="1"/>
  <c r="BD2" i="47" s="1"/>
  <c r="BC2" i="47"/>
  <c r="BC2" i="46"/>
  <c r="BD1" i="46"/>
  <c r="BD2" i="46" s="1"/>
  <c r="BB1" i="34"/>
  <c r="BA2" i="34"/>
  <c r="BC1" i="34" l="1"/>
  <c r="BB2" i="34"/>
  <c r="BC2" i="34" l="1"/>
  <c r="BD1" i="34"/>
  <c r="BD2" i="34" s="1"/>
  <c r="L6" i="7" l="1"/>
  <c r="N8" i="2"/>
  <c r="K8" i="2" s="1"/>
</calcChain>
</file>

<file path=xl/sharedStrings.xml><?xml version="1.0" encoding="utf-8"?>
<sst xmlns="http://schemas.openxmlformats.org/spreadsheetml/2006/main" count="1063" uniqueCount="221">
  <si>
    <t>Section</t>
  </si>
  <si>
    <t>Module</t>
  </si>
  <si>
    <t>N°:</t>
  </si>
  <si>
    <t>Formateur</t>
  </si>
  <si>
    <t>durée</t>
  </si>
  <si>
    <t>Total</t>
  </si>
  <si>
    <t>Culture de l'entreprise et du travail indépendant</t>
  </si>
  <si>
    <t>Culture numérique</t>
  </si>
  <si>
    <t>Reste</t>
  </si>
  <si>
    <t>debut</t>
  </si>
  <si>
    <t>80%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</si>
  <si>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</si>
  <si>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</si>
  <si>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</si>
  <si>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</si>
  <si>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</si>
  <si>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</si>
  <si>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</si>
  <si>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</si>
  <si>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</si>
  <si>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</si>
  <si>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</si>
  <si>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</si>
  <si>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</si>
  <si>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</si>
  <si>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</si>
  <si>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</si>
  <si>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</si>
  <si>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</si>
  <si>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</si>
  <si>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</si>
  <si>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</si>
  <si>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</si>
  <si>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N°</t>
  </si>
  <si>
    <t>DateDebut</t>
  </si>
  <si>
    <t>duree</t>
  </si>
  <si>
    <t>Groupe:</t>
  </si>
  <si>
    <t>Emploi de Temps</t>
  </si>
  <si>
    <t>Couleur</t>
  </si>
  <si>
    <t>Nouira Abdelhamid</t>
  </si>
  <si>
    <t>Groupe</t>
  </si>
  <si>
    <t>Promotion</t>
  </si>
  <si>
    <t>Abr</t>
  </si>
  <si>
    <t>Marin Pecheur</t>
  </si>
  <si>
    <t>Marin Aquaculteur</t>
  </si>
  <si>
    <t>Motoriste à la peche 2019-2021</t>
  </si>
  <si>
    <t>2019-2021</t>
  </si>
  <si>
    <t>id</t>
  </si>
  <si>
    <t>TempsDebut</t>
  </si>
  <si>
    <t>statut</t>
  </si>
  <si>
    <t>Formation avec la profession</t>
  </si>
  <si>
    <t>semain:</t>
  </si>
  <si>
    <t>nbrLigne</t>
  </si>
  <si>
    <t>Prog</t>
  </si>
  <si>
    <t>Navigation maritime</t>
  </si>
  <si>
    <t>Systèmes frigorifiques</t>
  </si>
  <si>
    <t>Conduite des machines de bord</t>
  </si>
  <si>
    <t>Arabe</t>
  </si>
  <si>
    <t>Anglais</t>
  </si>
  <si>
    <t>Formateur:</t>
  </si>
  <si>
    <t>المكون</t>
  </si>
  <si>
    <t>الرتبة</t>
  </si>
  <si>
    <t>تكوين مع المهنة</t>
  </si>
  <si>
    <t>Grade</t>
  </si>
  <si>
    <t>Quota</t>
  </si>
  <si>
    <t>مهندس عام</t>
  </si>
  <si>
    <t>مهندس عام مكون</t>
  </si>
  <si>
    <t>مهندس رئيس</t>
  </si>
  <si>
    <t>مهندس رئيس مكون</t>
  </si>
  <si>
    <t>مهندس أول</t>
  </si>
  <si>
    <t>مهندس أول مكون</t>
  </si>
  <si>
    <t>تقني رئيس</t>
  </si>
  <si>
    <t>مكون رئيس</t>
  </si>
  <si>
    <t>مكون أول</t>
  </si>
  <si>
    <t>تقني أول</t>
  </si>
  <si>
    <t>تقني</t>
  </si>
  <si>
    <t>مكون</t>
  </si>
  <si>
    <t>مساعد تقني</t>
  </si>
  <si>
    <t>قيم أول</t>
  </si>
  <si>
    <t>طبيب بيطري متفقد جهوي</t>
  </si>
  <si>
    <t>المهنة</t>
  </si>
  <si>
    <t>programme</t>
  </si>
  <si>
    <t xml:space="preserve">Patron Cotier </t>
  </si>
  <si>
    <t>Motoriste à la peche</t>
  </si>
  <si>
    <t>Programme</t>
  </si>
  <si>
    <t xml:space="preserve">Avancement de formation </t>
  </si>
  <si>
    <t>réalisé</t>
  </si>
  <si>
    <t>pourcentage</t>
  </si>
  <si>
    <t>Groupe :</t>
  </si>
  <si>
    <t>Nombre d'heures réalisés</t>
  </si>
  <si>
    <t>Activités</t>
  </si>
  <si>
    <t>Réalisés</t>
  </si>
  <si>
    <t>Pourcentage</t>
  </si>
  <si>
    <t>Column1</t>
  </si>
  <si>
    <t>Centre de Formation Professionnelle de pêche de Teboulba</t>
  </si>
  <si>
    <t>Visa de coordinateur Technique</t>
  </si>
  <si>
    <t xml:space="preserve"> </t>
  </si>
  <si>
    <t>Préparation de la marée</t>
  </si>
  <si>
    <t>Travaux du pont</t>
  </si>
  <si>
    <t>Mécanique appliquée</t>
  </si>
  <si>
    <t>Communication en milieu de travail</t>
  </si>
  <si>
    <t>Techniques de matelotage et de ramendage</t>
  </si>
  <si>
    <t>Réglementation en mer</t>
  </si>
  <si>
    <t>Moteurs marins</t>
  </si>
  <si>
    <t>Systèmes électriques</t>
  </si>
  <si>
    <t>Systèmes hydrauliques</t>
  </si>
  <si>
    <t>Maintenance des machines de bord</t>
  </si>
  <si>
    <t>Recherche d'emploi</t>
  </si>
  <si>
    <t>Français</t>
  </si>
  <si>
    <t>Législation du travail</t>
  </si>
  <si>
    <t>Education physique</t>
  </si>
  <si>
    <t>Metier et Formation</t>
  </si>
  <si>
    <t>Navire de pêche</t>
  </si>
  <si>
    <t>Sécurité et santé au travail</t>
  </si>
  <si>
    <t>Réglementation maritime</t>
  </si>
  <si>
    <t>Modes de vie et habitats des organismes marins</t>
  </si>
  <si>
    <t>Matelotage et ramendage des filets de pêche</t>
  </si>
  <si>
    <t>Pêche aux filets</t>
  </si>
  <si>
    <t>Pêche aux palangres</t>
  </si>
  <si>
    <t>Manipulation et conservation des produits marins</t>
  </si>
  <si>
    <t>Conduite des moteurs marins</t>
  </si>
  <si>
    <t>Entretien d'un navire de peche</t>
  </si>
  <si>
    <t>Code de la mer</t>
  </si>
  <si>
    <t>Travaux auxiliaires de manoeuvre</t>
  </si>
  <si>
    <t>Pêche aux filets tournants</t>
  </si>
  <si>
    <t>Peche aux chaluts</t>
  </si>
  <si>
    <t>Techniques de recherche d'emploi</t>
  </si>
  <si>
    <t>Integration dans le milieu du travail (stage)</t>
  </si>
  <si>
    <t>Culture environnementale et maitrise de l'energie</t>
  </si>
  <si>
    <t>Culture d'hygiene et sécurité au travail</t>
  </si>
  <si>
    <t>Marin Pecheur 2020</t>
  </si>
  <si>
    <t>Metier Et Formation</t>
  </si>
  <si>
    <t>Communication En Milieu De Travail</t>
  </si>
  <si>
    <t>Sante Et Securite Au Travail</t>
  </si>
  <si>
    <t>Biologie Des Especes Aquacoles</t>
  </si>
  <si>
    <t>Ramendage Des Filets D'Elevage Et Matelotage</t>
  </si>
  <si>
    <t>Environnement Des Especes Aquacoles</t>
  </si>
  <si>
    <t>Aliments Aquacoles</t>
  </si>
  <si>
    <t>Installation Et Entretien Des Structures D'Elevage (Sans Plongee</t>
  </si>
  <si>
    <t>Technique d'Alimentation Du Cheptel</t>
  </si>
  <si>
    <t>Techniques D'Elevage</t>
  </si>
  <si>
    <t>Reglementation Maritime</t>
  </si>
  <si>
    <t>Adaptation Au Milieu De Travail (Stage)</t>
  </si>
  <si>
    <t>Peche Et Recolte Des Produits Aquacoles</t>
  </si>
  <si>
    <t>Manutention Des Produits Aquacoles</t>
  </si>
  <si>
    <t>Traitements De L'Eau En Aquaculture</t>
  </si>
  <si>
    <t>Reproduction Artificielle Des Especes Aquacoles</t>
  </si>
  <si>
    <t>Techniques De Recherche De L’Emploi</t>
  </si>
  <si>
    <t>Integration En Milieu Du Travail (Stage)</t>
  </si>
  <si>
    <t>jusqu'au:</t>
  </si>
  <si>
    <t>Date debut de Formation:</t>
  </si>
  <si>
    <t>Jusqu'au: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</si>
  <si>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</si>
  <si>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</si>
  <si>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</si>
  <si>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</si>
  <si>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</si>
  <si>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</si>
  <si>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</si>
  <si>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</si>
  <si>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</si>
  <si>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</si>
  <si>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</si>
  <si>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</si>
  <si>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</si>
  <si>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</si>
  <si>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</si>
  <si>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</si>
  <si>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</si>
  <si>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</si>
  <si>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</si>
  <si>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Observation</t>
  </si>
  <si>
    <t>Actv</t>
  </si>
  <si>
    <t>ميكانيكي مكلف بالمحركات 800 ح.ب.</t>
  </si>
  <si>
    <t xml:space="preserve">ربان صيد أعماق 120 </t>
  </si>
  <si>
    <t>ت م 2018</t>
  </si>
  <si>
    <t>Metier et formation</t>
  </si>
  <si>
    <t>Océanographie et techniques de pèche</t>
  </si>
  <si>
    <t>Hygiène, Sécurité à  bord et péservation de l'environnement</t>
  </si>
  <si>
    <t>Travaux de base d'un atelier de mécanique</t>
  </si>
  <si>
    <t>Maintenance du navire de pèche</t>
  </si>
  <si>
    <t>Initiation à  la pratique du métier (Stage 1)</t>
  </si>
  <si>
    <t>Plans et dessins d'ensemble</t>
  </si>
  <si>
    <t>Sécourisme</t>
  </si>
  <si>
    <t>Création d'une entreprise de pèche</t>
  </si>
  <si>
    <t>Intégration au milieu de travail (Stage2)</t>
  </si>
  <si>
    <t>Culture d'hygiène e sécurité au travail</t>
  </si>
  <si>
    <t>MP2020</t>
  </si>
  <si>
    <t>Maq2020</t>
  </si>
  <si>
    <t>MOT2019</t>
  </si>
  <si>
    <t>fc800</t>
  </si>
  <si>
    <t>fc120</t>
  </si>
  <si>
    <t>s</t>
  </si>
  <si>
    <t>x</t>
  </si>
  <si>
    <t>ac</t>
  </si>
  <si>
    <t>الأنشطة</t>
  </si>
  <si>
    <t>ah</t>
  </si>
  <si>
    <t>section</t>
  </si>
  <si>
    <t>&gt;0</t>
  </si>
  <si>
    <t>Prévision</t>
  </si>
  <si>
    <t>Prévu</t>
  </si>
  <si>
    <t>s42</t>
  </si>
  <si>
    <t>s43</t>
  </si>
  <si>
    <t>s44</t>
  </si>
  <si>
    <t>s45</t>
  </si>
  <si>
    <t>s46</t>
  </si>
  <si>
    <t>s47</t>
  </si>
  <si>
    <t>s48</t>
  </si>
  <si>
    <t>position Tableau</t>
  </si>
  <si>
    <t>Liste des modules</t>
  </si>
  <si>
    <t>اسم المجموعة التكوينية</t>
  </si>
  <si>
    <t>الاسم واللقب</t>
  </si>
  <si>
    <t>nom et prenom</t>
  </si>
  <si>
    <t>s159123</t>
  </si>
  <si>
    <t>s17912</t>
  </si>
  <si>
    <t>s179123</t>
  </si>
  <si>
    <t>s1991</t>
  </si>
  <si>
    <t>s19912</t>
  </si>
  <si>
    <t>s199123</t>
  </si>
  <si>
    <t>complet</t>
  </si>
  <si>
    <t>MAJ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</si>
</sst>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[$-40C]mmmm\ yyyy"/>
    <numFmt numFmtId="166" formatCode="[$-40C]dd\ mmmm\ yyyy"/>
    <numFmt numFmtId="167" formatCode="[$-40C]dddd"/>
  </numFmts>
  <fonts count="39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charset val="1"/>
      <scheme val="minor"/>
    </font>
    <font>
      <b/>
      <sz val="48"/>
      <color theme="1"/>
      <name val="Signet Roundhand ATT"/>
      <family val="4"/>
      <charset val="238"/>
    </font>
    <font>
      <b/>
      <sz val="14"/>
      <name val="Calibri"/>
      <family val="2"/>
      <scheme val="minor"/>
    </font>
    <font>
      <sz val="8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sz val="9.85"/>
      <name val="Times New Roman"/>
      <family val="1"/>
    </font>
    <font>
      <sz val="11"/>
      <color theme="1"/>
      <name val="Calibri"/>
      <family val="2"/>
      <charset val="1"/>
      <scheme val="minor"/>
    </font>
    <font>
      <sz val="36"/>
      <color theme="1"/>
      <name val="Signet Roundhand ATT"/>
      <family val="4"/>
      <charset val="238"/>
    </font>
    <font>
      <sz val="16"/>
      <color theme="1"/>
      <name val="Calibri"/>
      <family val="2"/>
      <charset val="1"/>
      <scheme val="minor"/>
    </font>
    <font>
      <sz val="22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8"/>
      <color theme="1"/>
      <name val="Segoe Print"/>
    </font>
    <font>
      <sz val="16"/>
      <color theme="1"/>
      <name val="Signet Roundhand ATT"/>
      <family val="4"/>
      <charset val="238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18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Segoe Print"/>
    </font>
    <font>
      <sz val="11"/>
      <color rgb="FFFF0000"/>
      <name val="Calibri"/>
      <family val="2"/>
      <charset val="1"/>
      <scheme val="minor"/>
    </font>
    <font>
      <b/>
      <sz val="36"/>
      <color theme="1"/>
      <name val="Signet Roundhand ATT"/>
      <family val="4"/>
      <charset val="238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charset val="1"/>
      <scheme val="minor"/>
    </font>
    <font>
      <sz val="26"/>
      <color theme="1"/>
      <name val="Calibri"/>
      <family val="2"/>
      <charset val="1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name val="Calibri"/>
      <family val="2"/>
      <charset val="1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theme="8"/>
      </patternFill>
    </fill>
    <fill>
      <gradientFill degree="90">
        <stop position="0">
          <color theme="4"/>
        </stop>
        <stop position="1">
          <color theme="4" tint="0.40000610370189521"/>
        </stop>
      </gradientFill>
    </fill>
    <fill>
      <patternFill patternType="solid">
        <fgColor theme="2" tint="-9.9978637043366805E-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7" tint="0.79998168889431442"/>
        <bgColor theme="8" tint="0.59999389629810485"/>
      </patternFill>
    </fill>
    <fill>
      <patternFill patternType="solid">
        <fgColor theme="7" tint="0.39997558519241921"/>
        <bgColor theme="8" tint="0.59999389629810485"/>
      </patternFill>
    </fill>
    <fill>
      <patternFill patternType="solid">
        <fgColor rgb="FFFFC000"/>
        <bgColor theme="8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19">
    <xf numFmtId="0" fontId="0" fillId="0" borderId="0" xfId="0"/>
    <xf numFmtId="14" fontId="4" fillId="4" borderId="1" xfId="0" applyNumberFormat="1" applyFont="1" applyFill="1" applyBorder="1" applyAlignment="1">
      <alignment horizontal="center" vertical="top" textRotation="90"/>
    </xf>
    <xf numFmtId="14" fontId="5" fillId="4" borderId="1" xfId="0" applyNumberFormat="1" applyFont="1" applyFill="1" applyBorder="1" applyAlignment="1">
      <alignment horizontal="center" textRotation="90"/>
    </xf>
    <xf numFmtId="14" fontId="0" fillId="0" borderId="0" xfId="0" applyNumberFormat="1"/>
    <xf numFmtId="20" fontId="0" fillId="0" borderId="0" xfId="0" applyNumberFormat="1" applyAlignment="1">
      <alignment horizontal="center" vertical="top"/>
    </xf>
    <xf numFmtId="0" fontId="0" fillId="0" borderId="1" xfId="0" applyBorder="1"/>
    <xf numFmtId="0" fontId="0" fillId="0" borderId="2" xfId="0" applyBorder="1"/>
    <xf numFmtId="0" fontId="7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2" borderId="1" xfId="0" applyFill="1" applyBorder="1"/>
    <xf numFmtId="0" fontId="0" fillId="9" borderId="1" xfId="0" applyFill="1" applyBorder="1"/>
    <xf numFmtId="0" fontId="0" fillId="4" borderId="1" xfId="0" applyFill="1" applyBorder="1"/>
    <xf numFmtId="0" fontId="0" fillId="11" borderId="1" xfId="0" applyFill="1" applyBorder="1"/>
    <xf numFmtId="0" fontId="0" fillId="0" borderId="7" xfId="0" applyBorder="1"/>
    <xf numFmtId="0" fontId="0" fillId="0" borderId="8" xfId="0" applyBorder="1"/>
    <xf numFmtId="0" fontId="0" fillId="12" borderId="1" xfId="0" applyFill="1" applyBorder="1"/>
    <xf numFmtId="0" fontId="0" fillId="0" borderId="1" xfId="0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20" fontId="0" fillId="0" borderId="0" xfId="0" applyNumberFormat="1"/>
    <xf numFmtId="164" fontId="0" fillId="0" borderId="0" xfId="0" applyNumberFormat="1"/>
    <xf numFmtId="0" fontId="0" fillId="0" borderId="15" xfId="0" applyBorder="1"/>
    <xf numFmtId="0" fontId="0" fillId="0" borderId="16" xfId="0" applyBorder="1"/>
    <xf numFmtId="9" fontId="0" fillId="0" borderId="16" xfId="0" applyNumberFormat="1" applyBorder="1"/>
    <xf numFmtId="0" fontId="0" fillId="0" borderId="17" xfId="0" applyBorder="1"/>
    <xf numFmtId="0" fontId="0" fillId="0" borderId="1" xfId="0" applyNumberFormat="1" applyBorder="1"/>
    <xf numFmtId="0" fontId="11" fillId="0" borderId="1" xfId="0" applyNumberFormat="1" applyFont="1" applyBorder="1" applyAlignment="1">
      <alignment horizontal="center"/>
    </xf>
    <xf numFmtId="0" fontId="0" fillId="0" borderId="12" xfId="0" applyNumberFormat="1" applyBorder="1"/>
    <xf numFmtId="0" fontId="11" fillId="0" borderId="12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6" fillId="5" borderId="1" xfId="0" applyFont="1" applyFill="1" applyBorder="1" applyAlignment="1">
      <alignment horizontal="center"/>
    </xf>
    <xf numFmtId="0" fontId="0" fillId="13" borderId="1" xfId="0" applyFill="1" applyBorder="1"/>
    <xf numFmtId="0" fontId="0" fillId="11" borderId="1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/>
    <xf numFmtId="0" fontId="0" fillId="11" borderId="0" xfId="0" applyFill="1" applyBorder="1" applyAlignment="1">
      <alignment horizontal="center"/>
    </xf>
    <xf numFmtId="0" fontId="0" fillId="0" borderId="0" xfId="0" applyNumberFormat="1"/>
    <xf numFmtId="0" fontId="17" fillId="14" borderId="0" xfId="0" applyFont="1" applyFill="1" applyBorder="1"/>
    <xf numFmtId="0" fontId="17" fillId="14" borderId="22" xfId="0" applyFont="1" applyFill="1" applyBorder="1"/>
    <xf numFmtId="0" fontId="0" fillId="0" borderId="23" xfId="0" applyFont="1" applyFill="1" applyBorder="1"/>
    <xf numFmtId="0" fontId="0" fillId="0" borderId="24" xfId="0" applyFont="1" applyFill="1" applyBorder="1"/>
    <xf numFmtId="14" fontId="0" fillId="0" borderId="24" xfId="0" applyNumberFormat="1" applyFont="1" applyFill="1" applyBorder="1"/>
    <xf numFmtId="20" fontId="0" fillId="0" borderId="24" xfId="0" applyNumberFormat="1" applyFont="1" applyFill="1" applyBorder="1"/>
    <xf numFmtId="0" fontId="19" fillId="0" borderId="0" xfId="0" applyFont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21" fillId="0" borderId="0" xfId="0" applyFont="1" applyAlignment="1">
      <alignment horizontal="center" vertical="center"/>
    </xf>
    <xf numFmtId="0" fontId="0" fillId="17" borderId="10" xfId="0" applyFill="1" applyBorder="1"/>
    <xf numFmtId="0" fontId="0" fillId="17" borderId="27" xfId="0" applyFill="1" applyBorder="1"/>
    <xf numFmtId="0" fontId="0" fillId="17" borderId="11" xfId="0" applyFill="1" applyBorder="1"/>
    <xf numFmtId="0" fontId="0" fillId="17" borderId="31" xfId="0" applyFill="1" applyBorder="1"/>
    <xf numFmtId="0" fontId="24" fillId="0" borderId="0" xfId="0" applyFont="1" applyAlignment="1">
      <alignment horizontal="center" vertical="center"/>
    </xf>
    <xf numFmtId="0" fontId="0" fillId="18" borderId="10" xfId="0" applyFill="1" applyBorder="1"/>
    <xf numFmtId="0" fontId="0" fillId="18" borderId="8" xfId="0" applyFill="1" applyBorder="1"/>
    <xf numFmtId="0" fontId="0" fillId="18" borderId="14" xfId="0" applyFill="1" applyBorder="1"/>
    <xf numFmtId="0" fontId="0" fillId="18" borderId="13" xfId="0" applyFill="1" applyBorder="1"/>
    <xf numFmtId="0" fontId="0" fillId="18" borderId="7" xfId="0" applyFill="1" applyBorder="1"/>
    <xf numFmtId="0" fontId="0" fillId="18" borderId="27" xfId="0" applyFill="1" applyBorder="1"/>
    <xf numFmtId="0" fontId="0" fillId="18" borderId="28" xfId="0" applyFill="1" applyBorder="1"/>
    <xf numFmtId="0" fontId="0" fillId="18" borderId="32" xfId="0" applyFill="1" applyBorder="1"/>
    <xf numFmtId="0" fontId="0" fillId="18" borderId="30" xfId="0" applyFill="1" applyBorder="1"/>
    <xf numFmtId="0" fontId="0" fillId="18" borderId="29" xfId="0" applyFill="1" applyBorder="1"/>
    <xf numFmtId="20" fontId="25" fillId="0" borderId="34" xfId="0" applyNumberFormat="1" applyFont="1" applyFill="1" applyBorder="1" applyAlignment="1">
      <alignment horizontal="center" vertical="top"/>
    </xf>
    <xf numFmtId="20" fontId="0" fillId="19" borderId="33" xfId="0" applyNumberFormat="1" applyFill="1" applyBorder="1" applyAlignment="1">
      <alignment horizontal="center" vertical="top"/>
    </xf>
    <xf numFmtId="20" fontId="0" fillId="16" borderId="36" xfId="0" applyNumberFormat="1" applyFill="1" applyBorder="1" applyAlignment="1">
      <alignment horizontal="center" vertical="top"/>
    </xf>
    <xf numFmtId="0" fontId="0" fillId="0" borderId="35" xfId="0" applyBorder="1"/>
    <xf numFmtId="20" fontId="0" fillId="19" borderId="36" xfId="0" applyNumberFormat="1" applyFill="1" applyBorder="1" applyAlignment="1">
      <alignment horizontal="center" vertical="top"/>
    </xf>
    <xf numFmtId="20" fontId="25" fillId="0" borderId="35" xfId="0" applyNumberFormat="1" applyFont="1" applyFill="1" applyBorder="1" applyAlignment="1">
      <alignment horizontal="center" vertical="top"/>
    </xf>
    <xf numFmtId="0" fontId="0" fillId="0" borderId="37" xfId="0" applyBorder="1"/>
    <xf numFmtId="0" fontId="0" fillId="0" borderId="38" xfId="0" applyBorder="1"/>
    <xf numFmtId="0" fontId="0" fillId="0" borderId="34" xfId="0" applyBorder="1"/>
    <xf numFmtId="20" fontId="0" fillId="16" borderId="39" xfId="0" applyNumberFormat="1" applyFill="1" applyBorder="1" applyAlignment="1">
      <alignment horizontal="center" vertical="top"/>
    </xf>
    <xf numFmtId="20" fontId="25" fillId="0" borderId="40" xfId="0" applyNumberFormat="1" applyFont="1" applyFill="1" applyBorder="1" applyAlignment="1">
      <alignment horizontal="center" vertical="top"/>
    </xf>
    <xf numFmtId="0" fontId="0" fillId="0" borderId="41" xfId="0" applyBorder="1"/>
    <xf numFmtId="0" fontId="0" fillId="0" borderId="42" xfId="0" applyBorder="1"/>
    <xf numFmtId="20" fontId="0" fillId="19" borderId="39" xfId="0" applyNumberFormat="1" applyFill="1" applyBorder="1" applyAlignment="1">
      <alignment horizontal="center" vertical="top"/>
    </xf>
    <xf numFmtId="0" fontId="0" fillId="17" borderId="37" xfId="0" applyFill="1" applyBorder="1"/>
    <xf numFmtId="0" fontId="0" fillId="17" borderId="43" xfId="0" applyFill="1" applyBorder="1"/>
    <xf numFmtId="0" fontId="0" fillId="0" borderId="44" xfId="0" applyBorder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45" xfId="0" applyFont="1" applyBorder="1"/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0" borderId="19" xfId="0" applyFont="1" applyFill="1" applyBorder="1" applyAlignment="1">
      <alignment horizontal="center" vertical="center"/>
    </xf>
    <xf numFmtId="0" fontId="3" fillId="0" borderId="0" xfId="0" applyFont="1"/>
    <xf numFmtId="0" fontId="28" fillId="0" borderId="0" xfId="0" applyFont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0" fillId="20" borderId="1" xfId="0" applyFont="1" applyFill="1" applyBorder="1"/>
    <xf numFmtId="0" fontId="0" fillId="21" borderId="1" xfId="0" applyFill="1" applyBorder="1"/>
    <xf numFmtId="0" fontId="0" fillId="3" borderId="0" xfId="0" applyFill="1"/>
    <xf numFmtId="0" fontId="0" fillId="20" borderId="1" xfId="0" applyNumberFormat="1" applyFont="1" applyFill="1" applyBorder="1"/>
    <xf numFmtId="0" fontId="0" fillId="0" borderId="24" xfId="0" applyNumberFormat="1" applyFont="1" applyFill="1" applyBorder="1"/>
    <xf numFmtId="0" fontId="0" fillId="0" borderId="0" xfId="0" applyFill="1"/>
    <xf numFmtId="0" fontId="0" fillId="0" borderId="0" xfId="0" applyNumberFormat="1" applyFill="1"/>
    <xf numFmtId="0" fontId="26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/>
    </xf>
    <xf numFmtId="0" fontId="26" fillId="0" borderId="12" xfId="0" applyFont="1" applyFill="1" applyBorder="1" applyAlignment="1">
      <alignment horizontal="left" vertical="center"/>
    </xf>
    <xf numFmtId="0" fontId="17" fillId="14" borderId="1" xfId="0" applyFont="1" applyFill="1" applyBorder="1"/>
    <xf numFmtId="0" fontId="26" fillId="20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0" fillId="22" borderId="1" xfId="0" applyFont="1" applyFill="1" applyBorder="1" applyAlignment="1">
      <alignment horizontal="center" vertical="center"/>
    </xf>
    <xf numFmtId="0" fontId="0" fillId="24" borderId="1" xfId="0" applyFont="1" applyFill="1" applyBorder="1" applyAlignment="1">
      <alignment horizontal="center" vertical="center"/>
    </xf>
    <xf numFmtId="0" fontId="0" fillId="22" borderId="1" xfId="0" applyNumberFormat="1" applyFont="1" applyFill="1" applyBorder="1" applyAlignment="1">
      <alignment horizontal="center" vertical="center"/>
    </xf>
    <xf numFmtId="9" fontId="0" fillId="26" borderId="1" xfId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17" fillId="25" borderId="1" xfId="0" applyFont="1" applyFill="1" applyBorder="1" applyAlignment="1">
      <alignment horizontal="center"/>
    </xf>
    <xf numFmtId="0" fontId="0" fillId="22" borderId="16" xfId="0" applyNumberFormat="1" applyFont="1" applyFill="1" applyBorder="1" applyAlignment="1">
      <alignment horizontal="center" vertical="center"/>
    </xf>
    <xf numFmtId="0" fontId="0" fillId="22" borderId="1" xfId="0" applyFont="1" applyFill="1" applyBorder="1" applyAlignment="1">
      <alignment horizontal="left" vertical="center"/>
    </xf>
    <xf numFmtId="0" fontId="0" fillId="24" borderId="1" xfId="0" applyFont="1" applyFill="1" applyBorder="1" applyAlignment="1">
      <alignment horizontal="left" vertical="center"/>
    </xf>
    <xf numFmtId="0" fontId="31" fillId="0" borderId="0" xfId="0" applyFont="1"/>
    <xf numFmtId="0" fontId="0" fillId="0" borderId="0" xfId="0" applyFont="1"/>
    <xf numFmtId="0" fontId="14" fillId="0" borderId="0" xfId="0" applyFont="1" applyAlignment="1"/>
    <xf numFmtId="0" fontId="33" fillId="0" borderId="0" xfId="0" applyFont="1" applyAlignment="1">
      <alignment horizontal="right"/>
    </xf>
    <xf numFmtId="0" fontId="16" fillId="0" borderId="0" xfId="0" applyFont="1" applyAlignment="1"/>
    <xf numFmtId="0" fontId="33" fillId="0" borderId="0" xfId="0" applyFont="1"/>
    <xf numFmtId="0" fontId="29" fillId="0" borderId="1" xfId="0" applyFont="1" applyBorder="1" applyAlignment="1">
      <alignment horizontal="center" vertical="center"/>
    </xf>
    <xf numFmtId="9" fontId="0" fillId="27" borderId="12" xfId="1" applyNumberFormat="1" applyFont="1" applyFill="1" applyBorder="1" applyAlignment="1">
      <alignment horizontal="center" vertical="center"/>
    </xf>
    <xf numFmtId="0" fontId="29" fillId="22" borderId="21" xfId="0" applyNumberFormat="1" applyFont="1" applyFill="1" applyBorder="1" applyAlignment="1">
      <alignment horizontal="center" vertical="center"/>
    </xf>
    <xf numFmtId="0" fontId="34" fillId="14" borderId="21" xfId="0" applyFont="1" applyFill="1" applyBorder="1" applyAlignment="1">
      <alignment horizontal="center" vertical="center"/>
    </xf>
    <xf numFmtId="0" fontId="34" fillId="14" borderId="12" xfId="0" applyFont="1" applyFill="1" applyBorder="1" applyAlignment="1">
      <alignment horizontal="center" vertical="center"/>
    </xf>
    <xf numFmtId="0" fontId="34" fillId="14" borderId="47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0" fillId="23" borderId="0" xfId="0" applyFill="1"/>
    <xf numFmtId="0" fontId="0" fillId="23" borderId="16" xfId="0" applyFill="1" applyBorder="1"/>
    <xf numFmtId="0" fontId="0" fillId="23" borderId="1" xfId="0" applyFill="1" applyBorder="1"/>
    <xf numFmtId="166" fontId="22" fillId="8" borderId="12" xfId="0" applyNumberFormat="1" applyFont="1" applyFill="1" applyBorder="1" applyAlignment="1">
      <alignment horizontal="center" vertical="center"/>
    </xf>
    <xf numFmtId="166" fontId="22" fillId="8" borderId="26" xfId="0" applyNumberFormat="1" applyFont="1" applyFill="1" applyBorder="1" applyAlignment="1">
      <alignment horizontal="center" vertical="center"/>
    </xf>
    <xf numFmtId="167" fontId="20" fillId="15" borderId="3" xfId="0" applyNumberFormat="1" applyFont="1" applyFill="1" applyBorder="1" applyAlignment="1">
      <alignment horizontal="center" vertical="center"/>
    </xf>
    <xf numFmtId="167" fontId="20" fillId="15" borderId="25" xfId="0" applyNumberFormat="1" applyFont="1" applyFill="1" applyBorder="1" applyAlignment="1">
      <alignment horizontal="center" vertical="center"/>
    </xf>
    <xf numFmtId="166" fontId="9" fillId="8" borderId="12" xfId="0" applyNumberFormat="1" applyFont="1" applyFill="1" applyBorder="1" applyAlignment="1">
      <alignment horizontal="center" vertical="center"/>
    </xf>
    <xf numFmtId="166" fontId="9" fillId="8" borderId="26" xfId="0" applyNumberFormat="1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26" fillId="20" borderId="1" xfId="0" applyFont="1" applyFill="1" applyBorder="1" applyAlignment="1">
      <alignment horizontal="left" vertical="center"/>
    </xf>
    <xf numFmtId="0" fontId="25" fillId="10" borderId="0" xfId="0" applyFont="1" applyFill="1"/>
    <xf numFmtId="0" fontId="0" fillId="0" borderId="1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45" xfId="0" applyFont="1" applyFill="1" applyBorder="1"/>
    <xf numFmtId="0" fontId="26" fillId="0" borderId="45" xfId="0" applyFont="1" applyFill="1" applyBorder="1" applyAlignment="1">
      <alignment horizontal="center" vertical="center"/>
    </xf>
    <xf numFmtId="0" fontId="26" fillId="0" borderId="45" xfId="0" applyFont="1" applyFill="1" applyBorder="1" applyAlignment="1">
      <alignment horizontal="left" vertical="center"/>
    </xf>
    <xf numFmtId="0" fontId="0" fillId="0" borderId="45" xfId="0" applyFont="1" applyFill="1" applyBorder="1" applyAlignment="1">
      <alignment horizontal="center" vertical="center"/>
    </xf>
    <xf numFmtId="0" fontId="0" fillId="0" borderId="19" xfId="0" applyFill="1" applyBorder="1"/>
    <xf numFmtId="0" fontId="35" fillId="0" borderId="0" xfId="0" applyFont="1" applyAlignment="1">
      <alignment horizontal="center" vertical="center"/>
    </xf>
    <xf numFmtId="0" fontId="0" fillId="0" borderId="12" xfId="0" applyFill="1" applyBorder="1"/>
    <xf numFmtId="0" fontId="0" fillId="0" borderId="12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0" fillId="29" borderId="1" xfId="0" applyFill="1" applyBorder="1"/>
    <xf numFmtId="0" fontId="25" fillId="0" borderId="0" xfId="0" applyFont="1"/>
    <xf numFmtId="0" fontId="6" fillId="0" borderId="0" xfId="0" applyFont="1"/>
    <xf numFmtId="0" fontId="0" fillId="0" borderId="45" xfId="0" applyFont="1" applyBorder="1" applyAlignment="1">
      <alignment horizontal="left" vertical="center"/>
    </xf>
    <xf numFmtId="0" fontId="27" fillId="0" borderId="1" xfId="0" applyFont="1" applyFill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8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3" borderId="1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3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7" fillId="30" borderId="49" xfId="0" applyFont="1" applyFill="1" applyBorder="1"/>
    <xf numFmtId="0" fontId="17" fillId="30" borderId="50" xfId="0" applyFont="1" applyFill="1" applyBorder="1"/>
    <xf numFmtId="0" fontId="0" fillId="0" borderId="16" xfId="0" applyFill="1" applyBorder="1"/>
    <xf numFmtId="0" fontId="22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51" xfId="0" applyBorder="1"/>
    <xf numFmtId="14" fontId="4" fillId="31" borderId="1" xfId="0" applyNumberFormat="1" applyFont="1" applyFill="1" applyBorder="1" applyAlignment="1">
      <alignment horizontal="center" vertical="top" textRotation="90"/>
    </xf>
    <xf numFmtId="0" fontId="0" fillId="0" borderId="1" xfId="0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2" xfId="0" applyFill="1" applyBorder="1" applyAlignment="1">
      <alignment horizontal="left" vertical="center"/>
    </xf>
    <xf numFmtId="0" fontId="0" fillId="0" borderId="12" xfId="0" applyFont="1" applyFill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2" xfId="0" applyNumberFormat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26" fillId="0" borderId="1" xfId="0" applyNumberFormat="1" applyFont="1" applyFill="1" applyBorder="1" applyAlignment="1">
      <alignment horizontal="center" vertical="center"/>
    </xf>
    <xf numFmtId="0" fontId="0" fillId="0" borderId="45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14" fontId="33" fillId="0" borderId="48" xfId="0" applyNumberFormat="1" applyFont="1" applyBorder="1" applyAlignment="1">
      <alignment horizontal="left"/>
    </xf>
    <xf numFmtId="0" fontId="23" fillId="0" borderId="9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8" fillId="0" borderId="0" xfId="0" applyFont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14" fontId="29" fillId="0" borderId="0" xfId="0" applyNumberFormat="1" applyFont="1" applyBorder="1" applyAlignment="1">
      <alignment horizontal="center" vertical="center"/>
    </xf>
    <xf numFmtId="14" fontId="29" fillId="0" borderId="46" xfId="0" applyNumberFormat="1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5" fontId="30" fillId="7" borderId="12" xfId="0" applyNumberFormat="1" applyFont="1" applyFill="1" applyBorder="1" applyAlignment="1">
      <alignment horizontal="center" vertical="center" textRotation="90" wrapText="1"/>
    </xf>
    <xf numFmtId="165" fontId="30" fillId="7" borderId="47" xfId="0" applyNumberFormat="1" applyFont="1" applyFill="1" applyBorder="1" applyAlignment="1">
      <alignment horizontal="center" vertical="center" textRotation="90" wrapText="1"/>
    </xf>
    <xf numFmtId="165" fontId="30" fillId="7" borderId="16" xfId="0" applyNumberFormat="1" applyFont="1" applyFill="1" applyBorder="1" applyAlignment="1">
      <alignment horizontal="center" vertical="center" textRotation="90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/>
    <xf numFmtId="0" fontId="38" fillId="0" borderId="1" xfId="0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left" vertical="center"/>
    </xf>
    <xf numFmtId="0" fontId="7" fillId="0" borderId="1" xfId="0" applyFont="1" applyBorder="1"/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Border="1"/>
    <xf numFmtId="0" fontId="7" fillId="0" borderId="0" xfId="0" applyFont="1" applyFill="1" applyBorder="1"/>
    <xf numFmtId="0" fontId="38" fillId="0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2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E009E"/>
      </font>
    </dxf>
    <dxf>
      <font>
        <color rgb="FF00B050"/>
      </font>
      <fill>
        <patternFill>
          <bgColor theme="9" tint="0.59996337778862885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6FF99"/>
      <color rgb="FFFF33CC"/>
      <color rgb="FF05EBD5"/>
      <color rgb="FF579BFF"/>
      <color rgb="FF0066FF"/>
      <color rgb="FF008080"/>
      <color rgb="FF9E009E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134471</xdr:colOff>
          <xdr:row>1</xdr:row>
          <xdr:rowOff>112059</xdr:rowOff>
        </xdr:from>
        <xdr:to>
          <xdr:col>21</xdr:col>
          <xdr:colOff>204508</xdr:colOff>
          <xdr:row>32</xdr:row>
          <xdr:rowOff>89647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:$F$39" spid="_x0000_s92690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b="9320"/>
            <a:stretch>
              <a:fillRect/>
            </a:stretch>
          </xdr:blipFill>
          <xdr:spPr bwMode="auto">
            <a:xfrm>
              <a:off x="8617324" y="392206"/>
              <a:ext cx="8452037" cy="775447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39785</xdr:colOff>
      <xdr:row>0</xdr:row>
      <xdr:rowOff>0</xdr:rowOff>
    </xdr:from>
    <xdr:to>
      <xdr:col>0</xdr:col>
      <xdr:colOff>625929</xdr:colOff>
      <xdr:row>2</xdr:row>
      <xdr:rowOff>233769</xdr:rowOff>
    </xdr:to>
    <xdr:sp macro="[0]!populer.SemainDer" textlink="">
      <xdr:nvSpPr>
        <xdr:cNvPr id="6" name="Flèche droite 8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 flipH="1">
          <a:off x="39785" y="0"/>
          <a:ext cx="586144" cy="85969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oneCellAnchor>
    <xdr:from>
      <xdr:col>0</xdr:col>
      <xdr:colOff>693966</xdr:colOff>
      <xdr:row>0</xdr:row>
      <xdr:rowOff>73280</xdr:rowOff>
    </xdr:from>
    <xdr:ext cx="1215019" cy="623575"/>
    <xdr:sp macro="[0]!populer.SemainAct" textlink="">
      <xdr:nvSpPr>
        <xdr:cNvPr id="7" name="Rectangle à coins arrondis 10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93966" y="73280"/>
          <a:ext cx="1215019" cy="623575"/>
        </a:xfrm>
        <a:prstGeom prst="roundRect">
          <a:avLst/>
        </a:prstGeom>
        <a:solidFill>
          <a:srgbClr val="00B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en-US" sz="1800" b="1"/>
            <a:t>Semaine actuelle</a:t>
          </a:r>
        </a:p>
      </xdr:txBody>
    </xdr:sp>
    <xdr:clientData/>
  </xdr:oneCellAnchor>
  <xdr:twoCellAnchor>
    <xdr:from>
      <xdr:col>1</xdr:col>
      <xdr:colOff>168374</xdr:colOff>
      <xdr:row>2</xdr:row>
      <xdr:rowOff>54428</xdr:rowOff>
    </xdr:from>
    <xdr:to>
      <xdr:col>1</xdr:col>
      <xdr:colOff>878684</xdr:colOff>
      <xdr:row>4</xdr:row>
      <xdr:rowOff>397055</xdr:rowOff>
    </xdr:to>
    <xdr:sp macro="[0]!populer.SemainSuiv" textlink="">
      <xdr:nvSpPr>
        <xdr:cNvPr id="14" name="Flèche droit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30374" y="680357"/>
          <a:ext cx="710310" cy="85969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15</xdr:col>
      <xdr:colOff>296954</xdr:colOff>
      <xdr:row>1</xdr:row>
      <xdr:rowOff>9607</xdr:rowOff>
    </xdr:from>
    <xdr:to>
      <xdr:col>16</xdr:col>
      <xdr:colOff>472047</xdr:colOff>
      <xdr:row>2</xdr:row>
      <xdr:rowOff>152480</xdr:rowOff>
    </xdr:to>
    <xdr:sp macro="" textlink="">
      <xdr:nvSpPr>
        <xdr:cNvPr id="4" name="Sampl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503561" y="322571"/>
          <a:ext cx="937093" cy="455838"/>
        </a:xfrm>
        <a:prstGeom prst="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lang="fr-FR" sz="1600" b="1"/>
        </a:p>
      </xdr:txBody>
    </xdr:sp>
    <xdr:clientData/>
  </xdr:twoCellAnchor>
  <xdr:twoCellAnchor>
    <xdr:from>
      <xdr:col>9</xdr:col>
      <xdr:colOff>138546</xdr:colOff>
      <xdr:row>0</xdr:row>
      <xdr:rowOff>207819</xdr:rowOff>
    </xdr:from>
    <xdr:to>
      <xdr:col>11</xdr:col>
      <xdr:colOff>744682</xdr:colOff>
      <xdr:row>3</xdr:row>
      <xdr:rowOff>17319</xdr:rowOff>
    </xdr:to>
    <xdr:sp macro="[0]!tiba3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22682" y="207819"/>
          <a:ext cx="1402773" cy="744682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ar-TN" sz="2800">
              <a:latin typeface="Al-Jazeera-Arabic-Bold" panose="01000500000000020006" pitchFamily="2" charset="-78"/>
              <a:cs typeface="Al-Jazeera-Arabic-Bold" panose="01000500000000020006" pitchFamily="2" charset="-78"/>
            </a:rPr>
            <a:t>طباعة</a:t>
          </a:r>
          <a:endParaRPr lang="ar-TN" sz="1000">
            <a:latin typeface="Al-Jazeera-Arabic-Bold" panose="01000500000000020006" pitchFamily="2" charset="-78"/>
            <a:cs typeface="Al-Jazeera-Arabic-Bold" panose="01000500000000020006" pitchFamily="2" charset="-78"/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47" name="s15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48" name="s15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49" name="s15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00037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3</xdr:col>
      <xdr:colOff>635</xdr:colOff>
      <xdr:row>9</xdr:row>
      <xdr:rowOff>6350</xdr:rowOff>
    </xdr:from>
    <xdr:to>
      <xdr:col>4</xdr:col>
      <xdr:colOff>0</xdr:colOff>
      <xdr:row>17</xdr:row>
      <xdr:rowOff>5715</xdr:rowOff>
    </xdr:to>
    <xdr:sp macro="" textlink="">
      <xdr:nvSpPr>
        <xdr:cNvPr id="50" name="s15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686685" y="3321050"/>
          <a:ext cx="2094865" cy="251396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1" name="s16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2" name="s16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3" name="s16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4" name="s16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314700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" textlink="">
      <xdr:nvSpPr>
        <xdr:cNvPr id="55" name="s17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62902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" textlink="">
      <xdr:nvSpPr>
        <xdr:cNvPr id="56" name="s17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629025"/>
          <a:ext cx="1590675" cy="31432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Formation,nom et prenom</a:t>
          </a:r>
        </a:p>
      </xdr:txBody>
    </xdr:sp>
    <xdr:clientData/>
  </xdr:twoCellAnchor>
  <xdr:twoCellAnchor>
    <xdr:from>
      <xdr:col>5</xdr:col>
      <xdr:colOff>635</xdr:colOff>
      <xdr:row>9</xdr:row>
      <xdr:rowOff>6350</xdr:rowOff>
    </xdr:from>
    <xdr:to>
      <xdr:col>6</xdr:col>
      <xdr:colOff>0</xdr:colOff>
      <xdr:row>13</xdr:row>
      <xdr:rowOff>5715</xdr:rowOff>
    </xdr:to>
    <xdr:sp macro="" textlink="">
      <xdr:nvSpPr>
        <xdr:cNvPr id="57" name="s17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9110" y="3321050"/>
          <a:ext cx="2066290" cy="125666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4</xdr:col>
      <xdr:colOff>635</xdr:colOff>
      <xdr:row>19</xdr:row>
      <xdr:rowOff>6350</xdr:rowOff>
    </xdr:from>
    <xdr:to>
      <xdr:col>5</xdr:col>
      <xdr:colOff>0</xdr:colOff>
      <xdr:row>25</xdr:row>
      <xdr:rowOff>5715</xdr:rowOff>
    </xdr:to>
    <xdr:sp macro="" textlink="">
      <xdr:nvSpPr>
        <xdr:cNvPr id="58" name="s17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782185" y="6464300"/>
          <a:ext cx="2066290" cy="1885315"/>
        </a:xfrm>
        <a:prstGeom prst="rec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nom et prenom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59" name="s18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60" name="s18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61" name="s18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62" name="s18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3943350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63" name="s19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5325" y="4257675"/>
          <a:ext cx="1590675" cy="31432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1,Metier et Formation,Formation avec la profession</a:t>
          </a:r>
        </a:p>
      </xdr:txBody>
    </xdr:sp>
    <xdr:clientData/>
  </xdr:twoCellAnchor>
  <xdr:twoCellAnchor>
    <xdr:from>
      <xdr:col>6</xdr:col>
      <xdr:colOff>635</xdr:colOff>
      <xdr:row>9</xdr:row>
      <xdr:rowOff>6350</xdr:rowOff>
    </xdr:from>
    <xdr:to>
      <xdr:col>7</xdr:col>
      <xdr:colOff>0</xdr:colOff>
      <xdr:row>13</xdr:row>
      <xdr:rowOff>5715</xdr:rowOff>
    </xdr:to>
    <xdr:sp macro="" textlink="">
      <xdr:nvSpPr>
        <xdr:cNvPr id="64" name="s199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916035" y="3321050"/>
          <a:ext cx="2066290" cy="12566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  <xdr:twoCellAnchor>
    <xdr:from>
      <xdr:col>4</xdr:col>
      <xdr:colOff>635</xdr:colOff>
      <xdr:row>9</xdr:row>
      <xdr:rowOff>6350</xdr:rowOff>
    </xdr:from>
    <xdr:to>
      <xdr:col>5</xdr:col>
      <xdr:colOff>0</xdr:colOff>
      <xdr:row>17</xdr:row>
      <xdr:rowOff>5715</xdr:rowOff>
    </xdr:to>
    <xdr:sp macro="" textlink="">
      <xdr:nvSpPr>
        <xdr:cNvPr id="65" name="s199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782185" y="3321050"/>
          <a:ext cx="2066290" cy="25139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  <xdr:twoCellAnchor>
    <xdr:from>
      <xdr:col>3</xdr:col>
      <xdr:colOff>635</xdr:colOff>
      <xdr:row>19</xdr:row>
      <xdr:rowOff>6350</xdr:rowOff>
    </xdr:from>
    <xdr:to>
      <xdr:col>4</xdr:col>
      <xdr:colOff>0</xdr:colOff>
      <xdr:row>27</xdr:row>
      <xdr:rowOff>5715</xdr:rowOff>
    </xdr:to>
    <xdr:sp macro="" textlink="">
      <xdr:nvSpPr>
        <xdr:cNvPr id="66" name="s19912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686685" y="6464300"/>
          <a:ext cx="2094865" cy="2513965"/>
        </a:xfrm>
        <a:prstGeom prst="rect">
          <a:avLst/>
        </a:prstGeom>
        <a:solidFill>
          <a:srgbClr val="BFBFB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600" b="1"/>
            <a:t>1 Metier et Formation</a:t>
          </a:r>
        </a:p>
        <a:p>
          <a:pPr algn="ctr"/>
          <a:r>
            <a:rPr lang="fr-FR" sz="1600" b="1"/>
            <a:t>Formation avec la profession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39785</xdr:colOff>
      <xdr:row>0</xdr:row>
      <xdr:rowOff>0</xdr:rowOff>
    </xdr:from>
    <xdr:to>
      <xdr:col>0</xdr:col>
      <xdr:colOff>750095</xdr:colOff>
      <xdr:row>2</xdr:row>
      <xdr:rowOff>233769</xdr:rowOff>
    </xdr:to>
    <xdr:sp macro="[0]!emploiFormateur.SemainDer" textlink="">
      <xdr:nvSpPr>
        <xdr:cNvPr id="3" name="Flèche droite 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flipH="1">
          <a:off x="39785" y="0"/>
          <a:ext cx="710310" cy="8624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95250</xdr:colOff>
      <xdr:row>0</xdr:row>
      <xdr:rowOff>73280</xdr:rowOff>
    </xdr:from>
    <xdr:ext cx="1215019" cy="623575"/>
    <xdr:sp macro="[0]!emploiFormateur.SemainAct" textlink="">
      <xdr:nvSpPr>
        <xdr:cNvPr id="4" name="Rectangle à coins arrondis 1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57250" y="73280"/>
          <a:ext cx="1215019" cy="623575"/>
        </a:xfrm>
        <a:prstGeom prst="roundRect">
          <a:avLst/>
        </a:prstGeom>
        <a:solidFill>
          <a:srgbClr val="00B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en-US" sz="1800" b="1"/>
            <a:t>Semaine actuelle</a:t>
          </a:r>
        </a:p>
      </xdr:txBody>
    </xdr:sp>
    <xdr:clientData/>
  </xdr:oneCellAnchor>
  <xdr:twoCellAnchor>
    <xdr:from>
      <xdr:col>1</xdr:col>
      <xdr:colOff>200122</xdr:colOff>
      <xdr:row>2</xdr:row>
      <xdr:rowOff>254000</xdr:rowOff>
    </xdr:from>
    <xdr:to>
      <xdr:col>1</xdr:col>
      <xdr:colOff>910432</xdr:colOff>
      <xdr:row>4</xdr:row>
      <xdr:rowOff>598894</xdr:rowOff>
    </xdr:to>
    <xdr:sp macro="[0]!emploiFormateur.SemainSuiv" textlink="">
      <xdr:nvSpPr>
        <xdr:cNvPr id="6" name="Flèche droite 8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62122" y="889000"/>
          <a:ext cx="710310" cy="86876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13607</xdr:colOff>
      <xdr:row>0</xdr:row>
      <xdr:rowOff>40822</xdr:rowOff>
    </xdr:from>
    <xdr:to>
      <xdr:col>19</xdr:col>
      <xdr:colOff>187098</xdr:colOff>
      <xdr:row>1</xdr:row>
      <xdr:rowOff>183696</xdr:rowOff>
    </xdr:to>
    <xdr:sp macro="" textlink="">
      <xdr:nvSpPr>
        <xdr:cNvPr id="7" name="Sample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9077214" y="40822"/>
          <a:ext cx="935491" cy="455838"/>
        </a:xfrm>
        <a:prstGeom prst="rect">
          <a:avLst/>
        </a:prstGeom>
        <a:solidFill>
          <a:schemeClr val="accent1"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367393</xdr:colOff>
          <xdr:row>7</xdr:row>
          <xdr:rowOff>190502</xdr:rowOff>
        </xdr:from>
        <xdr:to>
          <xdr:col>25</xdr:col>
          <xdr:colOff>280801</xdr:colOff>
          <xdr:row>42</xdr:row>
          <xdr:rowOff>51957</xdr:rowOff>
        </xdr:to>
        <xdr:pic>
          <xdr:nvPicPr>
            <xdr:cNvPr id="36" name="Picture 35"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3:$J$32" spid="_x0000_s1344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910211" y="2580411"/>
              <a:ext cx="10806545" cy="93864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635</xdr:colOff>
      <xdr:row>9</xdr:row>
      <xdr:rowOff>6350</xdr:rowOff>
    </xdr:from>
    <xdr:to>
      <xdr:col>4</xdr:col>
      <xdr:colOff>0</xdr:colOff>
      <xdr:row>17</xdr:row>
      <xdr:rowOff>5715</xdr:rowOff>
    </xdr:to>
    <xdr:sp macro="" textlink="">
      <xdr:nvSpPr>
        <xdr:cNvPr id="19" name="s159123">
          <a:extLst>
            <a:ext uri="{FF2B5EF4-FFF2-40B4-BE49-F238E27FC236}">
              <a16:creationId xmlns:a16="http://schemas.microsoft.com/office/drawing/2014/main" id="{C0B02E64-21C5-4CB2-9F3A-F20D02DE1728}"/>
            </a:ext>
          </a:extLst>
        </xdr:cNvPr>
        <xdr:cNvSpPr/>
      </xdr:nvSpPr>
      <xdr:spPr>
        <a:xfrm>
          <a:off x="2667635" y="3025775"/>
          <a:ext cx="1675765" cy="251396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xdr:twoCellAnchor>
    <xdr:from>
      <xdr:col>5</xdr:col>
      <xdr:colOff>635</xdr:colOff>
      <xdr:row>9</xdr:row>
      <xdr:rowOff>6350</xdr:rowOff>
    </xdr:from>
    <xdr:to>
      <xdr:col>6</xdr:col>
      <xdr:colOff>0</xdr:colOff>
      <xdr:row>13</xdr:row>
      <xdr:rowOff>5715</xdr:rowOff>
    </xdr:to>
    <xdr:sp macro="" textlink="">
      <xdr:nvSpPr>
        <xdr:cNvPr id="20" name="s17912">
          <a:extLst>
            <a:ext uri="{FF2B5EF4-FFF2-40B4-BE49-F238E27FC236}">
              <a16:creationId xmlns:a16="http://schemas.microsoft.com/office/drawing/2014/main" id="{DE7DB20E-824A-4070-99AC-7A2645ECB9CD}"/>
            </a:ext>
          </a:extLst>
        </xdr:cNvPr>
        <xdr:cNvSpPr/>
      </xdr:nvSpPr>
      <xdr:spPr>
        <a:xfrm>
          <a:off x="6020435" y="3025775"/>
          <a:ext cx="1675765" cy="125666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  <xdr:twoCellAnchor>
    <xdr:from>
      <xdr:col>4</xdr:col>
      <xdr:colOff>635</xdr:colOff>
      <xdr:row>19</xdr:row>
      <xdr:rowOff>6350</xdr:rowOff>
    </xdr:from>
    <xdr:to>
      <xdr:col>5</xdr:col>
      <xdr:colOff>0</xdr:colOff>
      <xdr:row>25</xdr:row>
      <xdr:rowOff>5715</xdr:rowOff>
    </xdr:to>
    <xdr:sp macro="" textlink="">
      <xdr:nvSpPr>
        <xdr:cNvPr id="21" name="s179123">
          <a:extLst>
            <a:ext uri="{FF2B5EF4-FFF2-40B4-BE49-F238E27FC236}">
              <a16:creationId xmlns:a16="http://schemas.microsoft.com/office/drawing/2014/main" id="{4CF8B82E-1364-4B12-A67C-275DF35875B8}"/>
            </a:ext>
          </a:extLst>
        </xdr:cNvPr>
        <xdr:cNvSpPr/>
      </xdr:nvSpPr>
      <xdr:spPr>
        <a:xfrm>
          <a:off x="4344035" y="6169025"/>
          <a:ext cx="1675765" cy="1885315"/>
        </a:xfrm>
        <a:prstGeom prst="rect">
          <a:avLst/>
        </a:prstGeom>
        <a:solidFill>
          <a:srgbClr val="00B0F0">
            <a:alpha val="90000"/>
          </a:srgb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1 Metier et Formation</a:t>
          </a:r>
        </a:p>
        <a:p>
          <a:pPr algn="ctr"/>
          <a:r>
            <a:rPr lang="en-US" sz="1600" b="1">
              <a:ln>
                <a:solidFill>
                  <a:schemeClr val="bg1"/>
                </a:solidFill>
              </a:ln>
            </a:rPr>
            <a:t>Marin Pecheur 2020</a:t>
          </a:r>
          <a:endParaRPr lang="fr-TN" sz="1600" b="1">
            <a:ln>
              <a:solidFill>
                <a:schemeClr val="bg1"/>
              </a:solidFill>
            </a:ln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2</xdr:row>
      <xdr:rowOff>85725</xdr:rowOff>
    </xdr:from>
    <xdr:to>
      <xdr:col>15</xdr:col>
      <xdr:colOff>47625</xdr:colOff>
      <xdr:row>2</xdr:row>
      <xdr:rowOff>619125</xdr:rowOff>
    </xdr:to>
    <xdr:sp macro="[0]!previs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848975" y="200025"/>
          <a:ext cx="1190625" cy="533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Generer !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0</xdr:row>
      <xdr:rowOff>123825</xdr:rowOff>
    </xdr:from>
    <xdr:to>
      <xdr:col>10</xdr:col>
      <xdr:colOff>1057275</xdr:colOff>
      <xdr:row>2</xdr:row>
      <xdr:rowOff>161925</xdr:rowOff>
    </xdr:to>
    <xdr:sp macro="[0]!progFiChron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058525" y="123825"/>
          <a:ext cx="9144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eau13" displayName="Tableau13" ref="A4:BD22" totalsRowShown="0" headerRowDxfId="423" headerRowBorderDxfId="422" tableBorderDxfId="421" totalsRowBorderDxfId="420">
  <tableColumns count="56">
    <tableColumn id="1" name="Section" dataDxfId="419"/>
    <tableColumn id="2" name="N°:" dataDxfId="418"/>
    <tableColumn id="3" name="Module" dataDxfId="417"/>
    <tableColumn id="4" name="durée" dataDxfId="416"/>
    <tableColumn id="5" name="Formateur" dataDxfId="415"/>
    <tableColumn id="6" name="Reste" dataDxfId="414">
      <calculatedColumnFormula>Tableau13[[#This Row],[durée]]-Tableau13[[#This Row],[Total]]</calculatedColumnFormula>
    </tableColumn>
    <tableColumn id="7" name="80%" dataDxfId="413">
      <calculatedColumnFormula>Tableau13[[#This Row],[durée]]*80%</calculatedColumnFormula>
    </tableColumn>
    <tableColumn id="8" name="Total" dataDxfId="412">
      <calculatedColumnFormula>SUM(Tableau13[[#This Row],[s1]:[s22]])</calculatedColumnFormula>
    </tableColumn>
    <tableColumn id="9" name="s1" dataDxfId="411"/>
    <tableColumn id="10" name="s2" dataDxfId="410"/>
    <tableColumn id="11" name="s3" dataDxfId="409"/>
    <tableColumn id="12" name="s4" dataDxfId="408"/>
    <tableColumn id="13" name="s5" dataDxfId="407"/>
    <tableColumn id="14" name="s6" dataDxfId="406"/>
    <tableColumn id="15" name="s7" dataDxfId="405"/>
    <tableColumn id="16" name="s8" dataDxfId="404"/>
    <tableColumn id="17" name="s9" dataDxfId="403"/>
    <tableColumn id="18" name="s10" dataDxfId="402"/>
    <tableColumn id="19" name="s11" dataDxfId="401"/>
    <tableColumn id="20" name="s12" dataDxfId="400"/>
    <tableColumn id="21" name="s13" dataDxfId="399"/>
    <tableColumn id="22" name="s14" dataDxfId="398"/>
    <tableColumn id="23" name="s15" dataDxfId="397"/>
    <tableColumn id="24" name="s16" dataDxfId="396"/>
    <tableColumn id="25" name="s17" dataDxfId="395"/>
    <tableColumn id="26" name="s18" dataDxfId="394"/>
    <tableColumn id="27" name="s19" dataDxfId="393"/>
    <tableColumn id="28" name="s20" dataDxfId="392"/>
    <tableColumn id="29" name="s21" dataDxfId="391"/>
    <tableColumn id="30" name="s22" dataDxfId="390"/>
    <tableColumn id="31" name="s23" dataDxfId="389"/>
    <tableColumn id="32" name="s24" dataDxfId="388"/>
    <tableColumn id="33" name="s25" dataDxfId="387"/>
    <tableColumn id="34" name="s26" dataDxfId="386"/>
    <tableColumn id="35" name="s27" dataDxfId="385"/>
    <tableColumn id="36" name="s28" dataDxfId="384"/>
    <tableColumn id="37" name="s29" dataDxfId="383"/>
    <tableColumn id="38" name="s30" dataDxfId="382"/>
    <tableColumn id="39" name="s31" dataDxfId="381"/>
    <tableColumn id="40" name="s32" dataDxfId="380"/>
    <tableColumn id="41" name="s33" dataDxfId="379"/>
    <tableColumn id="42" name="s34" dataDxfId="378"/>
    <tableColumn id="43" name="s35" dataDxfId="377"/>
    <tableColumn id="44" name="s36" dataDxfId="376"/>
    <tableColumn id="45" name="s37" dataDxfId="375"/>
    <tableColumn id="46" name="s38" dataDxfId="374"/>
    <tableColumn id="47" name="s39" dataDxfId="373"/>
    <tableColumn id="48" name="s40" dataDxfId="372"/>
    <tableColumn id="49" name="s41" dataDxfId="371"/>
    <tableColumn id="50" name="s42" dataDxfId="370"/>
    <tableColumn id="51" name="s43" dataDxfId="369"/>
    <tableColumn id="52" name="s44" dataDxfId="368"/>
    <tableColumn id="53" name="s45" dataDxfId="367"/>
    <tableColumn id="54" name="s46" dataDxfId="366"/>
    <tableColumn id="55" name="s47" dataDxfId="365"/>
    <tableColumn id="56" name="s48" dataDxfId="3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au135" displayName="Tableau135" ref="A4:BD22" totalsRowShown="0" headerRowDxfId="360" headerRowBorderDxfId="359" tableBorderDxfId="358" totalsRowBorderDxfId="357">
  <tableColumns count="56">
    <tableColumn id="1" name="Section" dataDxfId="356"/>
    <tableColumn id="2" name="N°:" dataDxfId="355"/>
    <tableColumn id="3" name="Module" dataDxfId="354"/>
    <tableColumn id="4" name="durée" dataDxfId="353"/>
    <tableColumn id="5" name="Formateur" dataDxfId="352"/>
    <tableColumn id="6" name="Reste" dataDxfId="351">
      <calculatedColumnFormula>Tableau135[[#This Row],[durée]]-Tableau135[[#This Row],[Total]]</calculatedColumnFormula>
    </tableColumn>
    <tableColumn id="7" name="80%" dataDxfId="350">
      <calculatedColumnFormula>Tableau135[[#This Row],[durée]]*80%</calculatedColumnFormula>
    </tableColumn>
    <tableColumn id="8" name="Total" dataDxfId="349">
      <calculatedColumnFormula>SUM(Tableau135[[#This Row],[s1]:[s22]])</calculatedColumnFormula>
    </tableColumn>
    <tableColumn id="9" name="s1" dataDxfId="348"/>
    <tableColumn id="10" name="s2" dataDxfId="347"/>
    <tableColumn id="11" name="s3" dataDxfId="346"/>
    <tableColumn id="12" name="s4" dataDxfId="345"/>
    <tableColumn id="13" name="s5" dataDxfId="344"/>
    <tableColumn id="14" name="s6" dataDxfId="343"/>
    <tableColumn id="15" name="s7" dataDxfId="342"/>
    <tableColumn id="16" name="s8" dataDxfId="341"/>
    <tableColumn id="17" name="s9" dataDxfId="340"/>
    <tableColumn id="18" name="s10" dataDxfId="339"/>
    <tableColumn id="19" name="s11" dataDxfId="338"/>
    <tableColumn id="20" name="s12" dataDxfId="337"/>
    <tableColumn id="21" name="s13" dataDxfId="336"/>
    <tableColumn id="22" name="s14" dataDxfId="335"/>
    <tableColumn id="23" name="s15" dataDxfId="334"/>
    <tableColumn id="24" name="s16" dataDxfId="333"/>
    <tableColumn id="25" name="s17" dataDxfId="332"/>
    <tableColumn id="26" name="s18" dataDxfId="331"/>
    <tableColumn id="27" name="s19" dataDxfId="330"/>
    <tableColumn id="28" name="s20" dataDxfId="329"/>
    <tableColumn id="29" name="s21" dataDxfId="328"/>
    <tableColumn id="30" name="s22" dataDxfId="327"/>
    <tableColumn id="31" name="s23" dataDxfId="326"/>
    <tableColumn id="32" name="s24" dataDxfId="325"/>
    <tableColumn id="33" name="s25" dataDxfId="324"/>
    <tableColumn id="34" name="s26" dataDxfId="323"/>
    <tableColumn id="35" name="s27" dataDxfId="322"/>
    <tableColumn id="36" name="s28" dataDxfId="321"/>
    <tableColumn id="37" name="s29" dataDxfId="320"/>
    <tableColumn id="38" name="s30" dataDxfId="319"/>
    <tableColumn id="39" name="s31" dataDxfId="318"/>
    <tableColumn id="40" name="s32" dataDxfId="317"/>
    <tableColumn id="41" name="s33" dataDxfId="316"/>
    <tableColumn id="42" name="s34" dataDxfId="315"/>
    <tableColumn id="43" name="s35" dataDxfId="314"/>
    <tableColumn id="44" name="s36" dataDxfId="313"/>
    <tableColumn id="45" name="s37" dataDxfId="312"/>
    <tableColumn id="46" name="s38" dataDxfId="311"/>
    <tableColumn id="47" name="s39" dataDxfId="310"/>
    <tableColumn id="48" name="s40" dataDxfId="309"/>
    <tableColumn id="49" name="s41" dataDxfId="308"/>
    <tableColumn id="50" name="s42" dataDxfId="307"/>
    <tableColumn id="51" name="s43" dataDxfId="306"/>
    <tableColumn id="52" name="s44" dataDxfId="305"/>
    <tableColumn id="53" name="s45" dataDxfId="304"/>
    <tableColumn id="54" name="s46" dataDxfId="303"/>
    <tableColumn id="55" name="s47" dataDxfId="302"/>
    <tableColumn id="56" name="s48" dataDxfId="3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au136" displayName="Tableau136" ref="A4:BD22" totalsRowShown="0" headerRowDxfId="300" headerRowBorderDxfId="299" tableBorderDxfId="298" totalsRowBorderDxfId="297">
  <tableColumns count="56">
    <tableColumn id="1" name="Section" dataDxfId="296"/>
    <tableColumn id="2" name="N°:" dataDxfId="295"/>
    <tableColumn id="3" name="Module" dataDxfId="294"/>
    <tableColumn id="4" name="durée" dataDxfId="293"/>
    <tableColumn id="5" name="Formateur" dataDxfId="292"/>
    <tableColumn id="6" name="Reste" dataDxfId="291">
      <calculatedColumnFormula>Tableau136[[#This Row],[durée]]-Tableau136[[#This Row],[Total]]</calculatedColumnFormula>
    </tableColumn>
    <tableColumn id="7" name="80%" dataDxfId="290">
      <calculatedColumnFormula>Tableau136[[#This Row],[durée]]*80%</calculatedColumnFormula>
    </tableColumn>
    <tableColumn id="8" name="Total" dataDxfId="289">
      <calculatedColumnFormula>SUM(Tableau136[[#This Row],[s1]:[s22]])</calculatedColumnFormula>
    </tableColumn>
    <tableColumn id="9" name="s1" dataDxfId="288"/>
    <tableColumn id="10" name="s2" dataDxfId="287"/>
    <tableColumn id="11" name="s3" dataDxfId="286"/>
    <tableColumn id="12" name="s4" dataDxfId="285"/>
    <tableColumn id="13" name="s5" dataDxfId="284"/>
    <tableColumn id="14" name="s6" dataDxfId="283"/>
    <tableColumn id="15" name="s7" dataDxfId="282"/>
    <tableColumn id="16" name="s8" dataDxfId="281"/>
    <tableColumn id="17" name="s9" dataDxfId="280"/>
    <tableColumn id="18" name="s10" dataDxfId="279"/>
    <tableColumn id="19" name="s11" dataDxfId="278"/>
    <tableColumn id="20" name="s12" dataDxfId="277"/>
    <tableColumn id="21" name="s13" dataDxfId="276"/>
    <tableColumn id="22" name="s14" dataDxfId="275"/>
    <tableColumn id="23" name="s15" dataDxfId="274"/>
    <tableColumn id="24" name="s16" dataDxfId="273"/>
    <tableColumn id="25" name="s17" dataDxfId="272"/>
    <tableColumn id="26" name="s18" dataDxfId="271"/>
    <tableColumn id="27" name="s19" dataDxfId="270"/>
    <tableColumn id="28" name="s20" dataDxfId="269"/>
    <tableColumn id="29" name="s21" dataDxfId="268"/>
    <tableColumn id="30" name="s22" dataDxfId="267"/>
    <tableColumn id="31" name="s23" dataDxfId="266"/>
    <tableColumn id="32" name="s24" dataDxfId="265"/>
    <tableColumn id="33" name="s25" dataDxfId="264"/>
    <tableColumn id="34" name="s26" dataDxfId="263"/>
    <tableColumn id="35" name="s27" dataDxfId="262"/>
    <tableColumn id="36" name="s28" dataDxfId="261"/>
    <tableColumn id="37" name="s29" dataDxfId="260"/>
    <tableColumn id="38" name="s30" dataDxfId="259"/>
    <tableColumn id="39" name="s31" dataDxfId="258"/>
    <tableColumn id="40" name="s32" dataDxfId="257"/>
    <tableColumn id="41" name="s33" dataDxfId="256"/>
    <tableColumn id="42" name="s34" dataDxfId="255"/>
    <tableColumn id="43" name="s35" dataDxfId="254"/>
    <tableColumn id="44" name="s36" dataDxfId="253"/>
    <tableColumn id="45" name="s37" dataDxfId="252"/>
    <tableColumn id="46" name="s38" dataDxfId="251"/>
    <tableColumn id="47" name="s39" dataDxfId="250"/>
    <tableColumn id="48" name="s40" dataDxfId="249"/>
    <tableColumn id="49" name="s41" dataDxfId="248"/>
    <tableColumn id="50" name="s42" dataDxfId="247"/>
    <tableColumn id="51" name="s43" dataDxfId="246"/>
    <tableColumn id="52" name="s44" dataDxfId="245"/>
    <tableColumn id="53" name="s45" dataDxfId="244"/>
    <tableColumn id="54" name="s46" dataDxfId="243"/>
    <tableColumn id="55" name="s47" dataDxfId="242"/>
    <tableColumn id="56" name="s48" dataDxfId="2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au137" displayName="Tableau137" ref="A4:BD36" totalsRowShown="0" headerRowDxfId="240" headerRowBorderDxfId="239" tableBorderDxfId="238" totalsRowBorderDxfId="237">
  <tableColumns count="56">
    <tableColumn id="1" name="Section" dataDxfId="236"/>
    <tableColumn id="2" name="N°:" dataDxfId="235"/>
    <tableColumn id="3" name="Module" dataDxfId="234"/>
    <tableColumn id="4" name="durée" dataDxfId="233"/>
    <tableColumn id="5" name="Formateur" dataDxfId="232"/>
    <tableColumn id="6" name="Reste" dataDxfId="231">
      <calculatedColumnFormula>Tableau137[[#This Row],[durée]]-Tableau137[[#This Row],[Total]]</calculatedColumnFormula>
    </tableColumn>
    <tableColumn id="7" name="80%" dataDxfId="230">
      <calculatedColumnFormula>Tableau137[[#This Row],[durée]]*80%</calculatedColumnFormula>
    </tableColumn>
    <tableColumn id="8" name="Total" dataDxfId="229">
      <calculatedColumnFormula>SUM(Tableau137[[#This Row],[s1]:[s22]])</calculatedColumnFormula>
    </tableColumn>
    <tableColumn id="9" name="s1" dataDxfId="228"/>
    <tableColumn id="10" name="s2" dataDxfId="227"/>
    <tableColumn id="11" name="s3" dataDxfId="226"/>
    <tableColumn id="12" name="s4" dataDxfId="225"/>
    <tableColumn id="13" name="s5" dataDxfId="224"/>
    <tableColumn id="14" name="s6" dataDxfId="223"/>
    <tableColumn id="15" name="s7" dataDxfId="222"/>
    <tableColumn id="16" name="s8" dataDxfId="221"/>
    <tableColumn id="17" name="s9" dataDxfId="220"/>
    <tableColumn id="18" name="s10" dataDxfId="219"/>
    <tableColumn id="19" name="s11" dataDxfId="218"/>
    <tableColumn id="20" name="s12" dataDxfId="217"/>
    <tableColumn id="21" name="s13" dataDxfId="216"/>
    <tableColumn id="22" name="s14" dataDxfId="215"/>
    <tableColumn id="23" name="s15" dataDxfId="214"/>
    <tableColumn id="24" name="s16" dataDxfId="213"/>
    <tableColumn id="25" name="s17" dataDxfId="212"/>
    <tableColumn id="26" name="s18" dataDxfId="211"/>
    <tableColumn id="27" name="s19" dataDxfId="210"/>
    <tableColumn id="28" name="s20" dataDxfId="209"/>
    <tableColumn id="29" name="s21" dataDxfId="208"/>
    <tableColumn id="30" name="s22" dataDxfId="207"/>
    <tableColumn id="31" name="s23" dataDxfId="206"/>
    <tableColumn id="32" name="s24" dataDxfId="205"/>
    <tableColumn id="33" name="s25" dataDxfId="204"/>
    <tableColumn id="34" name="s26" dataDxfId="203"/>
    <tableColumn id="35" name="s27" dataDxfId="202"/>
    <tableColumn id="36" name="s28" dataDxfId="201"/>
    <tableColumn id="37" name="s29" dataDxfId="200"/>
    <tableColumn id="38" name="s30" dataDxfId="199"/>
    <tableColumn id="39" name="s31" dataDxfId="198"/>
    <tableColumn id="40" name="s32" dataDxfId="197"/>
    <tableColumn id="41" name="s33" dataDxfId="196"/>
    <tableColumn id="42" name="s34" dataDxfId="195"/>
    <tableColumn id="43" name="s35" dataDxfId="194"/>
    <tableColumn id="44" name="s36" dataDxfId="193"/>
    <tableColumn id="45" name="s37" dataDxfId="192"/>
    <tableColumn id="46" name="s38" dataDxfId="191"/>
    <tableColumn id="47" name="s39" dataDxfId="190"/>
    <tableColumn id="48" name="s40" dataDxfId="189"/>
    <tableColumn id="49" name="s41" dataDxfId="188"/>
    <tableColumn id="50" name="s42" dataDxfId="187"/>
    <tableColumn id="51" name="s43" dataDxfId="186"/>
    <tableColumn id="52" name="s44" dataDxfId="185"/>
    <tableColumn id="53" name="s45" dataDxfId="184"/>
    <tableColumn id="54" name="s46" dataDxfId="183"/>
    <tableColumn id="55" name="s47" dataDxfId="182"/>
    <tableColumn id="56" name="s48" dataDxfId="1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au138" displayName="Tableau138" ref="A4:BD35" totalsRowShown="0" headerRowDxfId="180" headerRowBorderDxfId="179" tableBorderDxfId="178" totalsRowBorderDxfId="177">
  <tableColumns count="56">
    <tableColumn id="1" name="Section" dataDxfId="176"/>
    <tableColumn id="2" name="N°:" dataDxfId="175"/>
    <tableColumn id="3" name="Module" dataDxfId="174"/>
    <tableColumn id="4" name="durée" dataDxfId="173"/>
    <tableColumn id="5" name="Formateur" dataDxfId="172"/>
    <tableColumn id="6" name="Reste" dataDxfId="171">
      <calculatedColumnFormula>Tableau138[[#This Row],[durée]]-Tableau138[[#This Row],[Total]]</calculatedColumnFormula>
    </tableColumn>
    <tableColumn id="7" name="80%" dataDxfId="170">
      <calculatedColumnFormula>Tableau138[[#This Row],[durée]]*80%</calculatedColumnFormula>
    </tableColumn>
    <tableColumn id="8" name="Total" dataDxfId="169">
      <calculatedColumnFormula>SUM(Tableau138[[#This Row],[s1]:[s22]])</calculatedColumnFormula>
    </tableColumn>
    <tableColumn id="9" name="s1" dataDxfId="168"/>
    <tableColumn id="10" name="s2" dataDxfId="167"/>
    <tableColumn id="11" name="s3" dataDxfId="166"/>
    <tableColumn id="12" name="s4" dataDxfId="165"/>
    <tableColumn id="13" name="s5" dataDxfId="164"/>
    <tableColumn id="14" name="s6" dataDxfId="163"/>
    <tableColumn id="15" name="s7" dataDxfId="162"/>
    <tableColumn id="16" name="s8" dataDxfId="161"/>
    <tableColumn id="17" name="s9" dataDxfId="160"/>
    <tableColumn id="18" name="s10" dataDxfId="159"/>
    <tableColumn id="19" name="s11" dataDxfId="158"/>
    <tableColumn id="20" name="s12" dataDxfId="157"/>
    <tableColumn id="21" name="s13" dataDxfId="156"/>
    <tableColumn id="22" name="s14" dataDxfId="155"/>
    <tableColumn id="23" name="s15" dataDxfId="154"/>
    <tableColumn id="24" name="s16" dataDxfId="153"/>
    <tableColumn id="25" name="s17" dataDxfId="152"/>
    <tableColumn id="26" name="s18" dataDxfId="151"/>
    <tableColumn id="27" name="s19" dataDxfId="150"/>
    <tableColumn id="28" name="s20" dataDxfId="149"/>
    <tableColumn id="29" name="s21" dataDxfId="148"/>
    <tableColumn id="30" name="s22" dataDxfId="147"/>
    <tableColumn id="31" name="s23" dataDxfId="146"/>
    <tableColumn id="32" name="s24" dataDxfId="145"/>
    <tableColumn id="33" name="s25" dataDxfId="144"/>
    <tableColumn id="34" name="s26" dataDxfId="143"/>
    <tableColumn id="35" name="s27" dataDxfId="142"/>
    <tableColumn id="36" name="s28" dataDxfId="141"/>
    <tableColumn id="37" name="s29" dataDxfId="140"/>
    <tableColumn id="38" name="s30" dataDxfId="139"/>
    <tableColumn id="39" name="s31" dataDxfId="138"/>
    <tableColumn id="40" name="s32" dataDxfId="137"/>
    <tableColumn id="41" name="s33" dataDxfId="136"/>
    <tableColumn id="42" name="s34" dataDxfId="135"/>
    <tableColumn id="43" name="s35" dataDxfId="134"/>
    <tableColumn id="44" name="s36" dataDxfId="133"/>
    <tableColumn id="45" name="s37" dataDxfId="132"/>
    <tableColumn id="46" name="s38" dataDxfId="131"/>
    <tableColumn id="47" name="s39" dataDxfId="130"/>
    <tableColumn id="48" name="s40" dataDxfId="129"/>
    <tableColumn id="49" name="s41" dataDxfId="128"/>
    <tableColumn id="50" name="s42" dataDxfId="127"/>
    <tableColumn id="51" name="s43" dataDxfId="126"/>
    <tableColumn id="52" name="s44" dataDxfId="125"/>
    <tableColumn id="53" name="s45" dataDxfId="124"/>
    <tableColumn id="54" name="s46" dataDxfId="123"/>
    <tableColumn id="55" name="s47" dataDxfId="122"/>
    <tableColumn id="56" name="s48" dataDxfId="1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ableau1311" displayName="Tableau1311" ref="A4:BD37" totalsRowShown="0" headerRowDxfId="120" headerRowBorderDxfId="119" tableBorderDxfId="118" totalsRowBorderDxfId="117">
  <tableColumns count="56">
    <tableColumn id="1" name="Section" dataDxfId="116"/>
    <tableColumn id="2" name="N°:" dataDxfId="115"/>
    <tableColumn id="3" name="Module" dataDxfId="114"/>
    <tableColumn id="4" name="durée" dataDxfId="113"/>
    <tableColumn id="5" name="Formateur" dataDxfId="112"/>
    <tableColumn id="6" name="Reste" dataDxfId="111">
      <calculatedColumnFormula>Tableau1311[[#This Row],[durée]]-Tableau1311[[#This Row],[Total]]</calculatedColumnFormula>
    </tableColumn>
    <tableColumn id="7" name="80%" dataDxfId="110">
      <calculatedColumnFormula>Tableau1311[[#This Row],[durée]]*80%</calculatedColumnFormula>
    </tableColumn>
    <tableColumn id="8" name="Total" dataDxfId="109">
      <calculatedColumnFormula>SUM(Tableau1311[[#This Row],[s1]:[s22]])</calculatedColumnFormula>
    </tableColumn>
    <tableColumn id="9" name="s1" dataDxfId="108"/>
    <tableColumn id="10" name="s2" dataDxfId="107"/>
    <tableColumn id="11" name="s3" dataDxfId="106"/>
    <tableColumn id="12" name="s4" dataDxfId="105"/>
    <tableColumn id="13" name="s5" dataDxfId="104"/>
    <tableColumn id="14" name="s6" dataDxfId="103"/>
    <tableColumn id="15" name="s7" dataDxfId="102"/>
    <tableColumn id="16" name="s8" dataDxfId="101"/>
    <tableColumn id="17" name="s9" dataDxfId="100"/>
    <tableColumn id="18" name="s10" dataDxfId="99"/>
    <tableColumn id="19" name="s11" dataDxfId="98"/>
    <tableColumn id="20" name="s12" dataDxfId="97"/>
    <tableColumn id="21" name="s13" dataDxfId="96"/>
    <tableColumn id="22" name="s14" dataDxfId="95"/>
    <tableColumn id="23" name="s15" dataDxfId="94"/>
    <tableColumn id="24" name="s16" dataDxfId="93"/>
    <tableColumn id="25" name="s17" dataDxfId="92"/>
    <tableColumn id="26" name="s18" dataDxfId="91"/>
    <tableColumn id="27" name="s19" dataDxfId="90"/>
    <tableColumn id="28" name="s20" dataDxfId="89"/>
    <tableColumn id="29" name="s21" dataDxfId="88"/>
    <tableColumn id="30" name="s22" dataDxfId="87"/>
    <tableColumn id="31" name="s23" dataDxfId="86"/>
    <tableColumn id="32" name="s24" dataDxfId="85"/>
    <tableColumn id="33" name="s25" dataDxfId="84"/>
    <tableColumn id="34" name="s26" dataDxfId="83"/>
    <tableColumn id="35" name="s27" dataDxfId="82"/>
    <tableColumn id="36" name="s28" dataDxfId="81"/>
    <tableColumn id="37" name="s29" dataDxfId="80"/>
    <tableColumn id="38" name="s30" dataDxfId="79"/>
    <tableColumn id="39" name="s31" dataDxfId="78"/>
    <tableColumn id="40" name="s32" dataDxfId="77"/>
    <tableColumn id="41" name="s33" dataDxfId="76"/>
    <tableColumn id="42" name="s34" dataDxfId="75"/>
    <tableColumn id="43" name="s35" dataDxfId="74"/>
    <tableColumn id="44" name="s36" dataDxfId="73"/>
    <tableColumn id="45" name="s37" dataDxfId="72"/>
    <tableColumn id="46" name="s38" dataDxfId="71"/>
    <tableColumn id="47" name="s39" dataDxfId="70"/>
    <tableColumn id="48" name="s40" dataDxfId="69"/>
    <tableColumn id="49" name="s41" dataDxfId="68"/>
    <tableColumn id="50" name="s42" dataDxfId="67"/>
    <tableColumn id="51" name="s43" dataDxfId="66"/>
    <tableColumn id="52" name="s44" dataDxfId="65"/>
    <tableColumn id="53" name="s45" dataDxfId="64"/>
    <tableColumn id="54" name="s46" dataDxfId="63"/>
    <tableColumn id="55" name="s47" dataDxfId="62"/>
    <tableColumn id="56" name="s48" dataDxfId="6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ableau1313" displayName="Tableau1313" ref="A4:BD37" totalsRowShown="0" headerRowDxfId="60" dataDxfId="58" headerRowBorderDxfId="59" tableBorderDxfId="57" totalsRowBorderDxfId="56">
  <tableColumns count="56">
    <tableColumn id="1" name="Section" dataDxfId="55"/>
    <tableColumn id="2" name="N°:" dataDxfId="54"/>
    <tableColumn id="3" name="Module" dataDxfId="53"/>
    <tableColumn id="4" name="durée" dataDxfId="52"/>
    <tableColumn id="5" name="Formateur" dataDxfId="51"/>
    <tableColumn id="6" name="Reste" dataDxfId="50"/>
    <tableColumn id="7" name="80%" dataDxfId="49"/>
    <tableColumn id="8" name="Total" dataDxfId="48"/>
    <tableColumn id="9" name="s1" dataDxfId="47"/>
    <tableColumn id="10" name="s2" dataDxfId="46"/>
    <tableColumn id="11" name="s3" dataDxfId="45"/>
    <tableColumn id="12" name="s4" dataDxfId="44"/>
    <tableColumn id="13" name="s5" dataDxfId="43"/>
    <tableColumn id="14" name="s6" dataDxfId="42"/>
    <tableColumn id="15" name="s7" dataDxfId="41"/>
    <tableColumn id="16" name="s8" dataDxfId="40"/>
    <tableColumn id="17" name="s9" dataDxfId="39"/>
    <tableColumn id="18" name="s10" dataDxfId="38"/>
    <tableColumn id="19" name="s11" dataDxfId="37"/>
    <tableColumn id="20" name="s12" dataDxfId="36"/>
    <tableColumn id="21" name="s13" dataDxfId="35"/>
    <tableColumn id="22" name="s14" dataDxfId="34"/>
    <tableColumn id="23" name="s15" dataDxfId="33"/>
    <tableColumn id="24" name="s16" dataDxfId="32"/>
    <tableColumn id="25" name="s17" dataDxfId="31"/>
    <tableColumn id="26" name="s18" dataDxfId="30"/>
    <tableColumn id="27" name="s19" dataDxfId="29"/>
    <tableColumn id="28" name="s20" dataDxfId="28"/>
    <tableColumn id="29" name="s21" dataDxfId="27"/>
    <tableColumn id="30" name="s22" dataDxfId="26"/>
    <tableColumn id="31" name="s23" dataDxfId="25"/>
    <tableColumn id="32" name="s24" dataDxfId="24"/>
    <tableColumn id="33" name="s25" dataDxfId="23"/>
    <tableColumn id="34" name="s26" dataDxfId="22"/>
    <tableColumn id="35" name="s27" dataDxfId="21"/>
    <tableColumn id="36" name="s28" dataDxfId="20"/>
    <tableColumn id="37" name="s29" dataDxfId="19"/>
    <tableColumn id="38" name="s30" dataDxfId="18"/>
    <tableColumn id="39" name="s31" dataDxfId="17"/>
    <tableColumn id="40" name="s32" dataDxfId="16"/>
    <tableColumn id="41" name="s33" dataDxfId="15"/>
    <tableColumn id="42" name="s34" dataDxfId="14"/>
    <tableColumn id="43" name="s35" dataDxfId="13"/>
    <tableColumn id="44" name="s36" dataDxfId="12"/>
    <tableColumn id="45" name="s37" dataDxfId="11"/>
    <tableColumn id="46" name="s38" dataDxfId="10"/>
    <tableColumn id="47" name="s39" dataDxfId="9"/>
    <tableColumn id="48" name="s40" dataDxfId="8"/>
    <tableColumn id="49" name="s41" dataDxfId="7"/>
    <tableColumn id="50" name="s42" dataDxfId="6"/>
    <tableColumn id="51" name="s43" dataDxfId="5"/>
    <tableColumn id="52" name="s44" dataDxfId="4"/>
    <tableColumn id="53" name="s45" dataDxfId="3"/>
    <tableColumn id="54" name="s46" dataDxfId="2"/>
    <tableColumn id="55" name="s47" dataDxfId="1"/>
    <tableColumn id="56" name="s4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D162"/>
  <sheetViews>
    <sheetView zoomScale="85" zoomScaleNormal="85" workbookViewId="0">
      <pane xSplit="8" ySplit="4" topLeftCell="I5" activePane="bottomRight" state="frozen"/>
      <selection activeCell="E4" sqref="E4"/>
      <selection pane="topRight" activeCell="E4" sqref="E4"/>
      <selection pane="bottomLeft" activeCell="E4" sqref="E4"/>
      <selection pane="bottomRight" activeCell="D5" sqref="A5:D154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AW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ref="AX1" si="2">AW1+7</f>
        <v>44403</v>
      </c>
      <c r="AY1" s="1">
        <f t="shared" ref="AY1" si="3">AX1+7</f>
        <v>44410</v>
      </c>
      <c r="AZ1" s="1">
        <f t="shared" ref="AZ1" si="4">AY1+7</f>
        <v>44417</v>
      </c>
      <c r="BA1" s="1">
        <f t="shared" ref="BA1" si="5">AZ1+7</f>
        <v>44424</v>
      </c>
      <c r="BB1" s="1">
        <f t="shared" ref="BB1" si="6">BA1+7</f>
        <v>44431</v>
      </c>
      <c r="BC1" s="1">
        <f t="shared" ref="BC1" si="7">BB1+7</f>
        <v>44438</v>
      </c>
      <c r="BD1" s="1">
        <f t="shared" ref="BD1" si="8">BC1+7</f>
        <v>44445</v>
      </c>
    </row>
    <row r="2" spans="1:56" ht="61.5" x14ac:dyDescent="0.25">
      <c r="I2" s="2">
        <f t="shared" ref="I2:M2" si="9">I1+6</f>
        <v>44122</v>
      </c>
      <c r="J2" s="2">
        <f t="shared" si="9"/>
        <v>44129</v>
      </c>
      <c r="K2" s="2">
        <f t="shared" si="9"/>
        <v>44136</v>
      </c>
      <c r="L2" s="2">
        <f t="shared" si="9"/>
        <v>44143</v>
      </c>
      <c r="M2" s="2">
        <f t="shared" si="9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10">Q1+6</f>
        <v>44178</v>
      </c>
      <c r="R2" s="2">
        <f t="shared" si="10"/>
        <v>44185</v>
      </c>
      <c r="S2" s="2">
        <f t="shared" si="10"/>
        <v>44192</v>
      </c>
      <c r="T2" s="2">
        <f t="shared" si="10"/>
        <v>44199</v>
      </c>
      <c r="U2" s="2">
        <f t="shared" si="10"/>
        <v>44206</v>
      </c>
      <c r="V2" s="2">
        <f t="shared" si="10"/>
        <v>44213</v>
      </c>
      <c r="W2" s="2">
        <f t="shared" si="10"/>
        <v>44220</v>
      </c>
      <c r="X2" s="2">
        <f t="shared" si="10"/>
        <v>44227</v>
      </c>
      <c r="Y2" s="2">
        <f t="shared" si="10"/>
        <v>44234</v>
      </c>
      <c r="Z2" s="2">
        <f t="shared" si="10"/>
        <v>44241</v>
      </c>
      <c r="AA2" s="2">
        <f t="shared" si="10"/>
        <v>44248</v>
      </c>
      <c r="AB2" s="2">
        <f t="shared" si="10"/>
        <v>44255</v>
      </c>
      <c r="AC2" s="2">
        <f t="shared" si="10"/>
        <v>44262</v>
      </c>
      <c r="AD2" s="2">
        <f t="shared" si="10"/>
        <v>44269</v>
      </c>
      <c r="AE2" s="2">
        <f t="shared" si="10"/>
        <v>44276</v>
      </c>
      <c r="AF2" s="2">
        <f t="shared" si="10"/>
        <v>44283</v>
      </c>
      <c r="AG2" s="2">
        <f t="shared" si="10"/>
        <v>44290</v>
      </c>
      <c r="AH2" s="2">
        <f t="shared" si="10"/>
        <v>44297</v>
      </c>
      <c r="AI2" s="2">
        <f t="shared" si="10"/>
        <v>44304</v>
      </c>
      <c r="AJ2" s="2">
        <f t="shared" si="10"/>
        <v>44311</v>
      </c>
      <c r="AK2" s="2">
        <f t="shared" si="10"/>
        <v>44318</v>
      </c>
      <c r="AL2" s="2">
        <f t="shared" si="10"/>
        <v>44325</v>
      </c>
      <c r="AM2" s="2">
        <f t="shared" si="10"/>
        <v>44332</v>
      </c>
      <c r="AN2" s="2">
        <f t="shared" si="10"/>
        <v>44339</v>
      </c>
      <c r="AO2" s="2">
        <f t="shared" si="10"/>
        <v>44346</v>
      </c>
      <c r="AP2" s="2">
        <f t="shared" si="10"/>
        <v>44353</v>
      </c>
      <c r="AQ2" s="2">
        <f t="shared" si="10"/>
        <v>44360</v>
      </c>
      <c r="AR2" s="2">
        <f t="shared" si="10"/>
        <v>44367</v>
      </c>
      <c r="AS2" s="2">
        <f t="shared" si="10"/>
        <v>44374</v>
      </c>
      <c r="AT2" s="2">
        <f t="shared" si="10"/>
        <v>44381</v>
      </c>
      <c r="AU2" s="2">
        <f t="shared" si="10"/>
        <v>44388</v>
      </c>
      <c r="AV2" s="2">
        <f t="shared" si="10"/>
        <v>44395</v>
      </c>
      <c r="AW2" s="2">
        <f t="shared" si="10"/>
        <v>44402</v>
      </c>
      <c r="AX2" s="2">
        <f t="shared" si="10"/>
        <v>44409</v>
      </c>
      <c r="AY2" s="2">
        <f t="shared" si="10"/>
        <v>44416</v>
      </c>
      <c r="AZ2" s="2">
        <f t="shared" si="10"/>
        <v>44423</v>
      </c>
      <c r="BA2" s="2">
        <f t="shared" si="10"/>
        <v>44430</v>
      </c>
      <c r="BB2" s="2">
        <f t="shared" si="10"/>
        <v>44437</v>
      </c>
      <c r="BC2" s="2">
        <f t="shared" si="10"/>
        <v>44444</v>
      </c>
      <c r="BD2" s="2">
        <f t="shared" si="10"/>
        <v>44451</v>
      </c>
    </row>
    <row r="3" spans="1:56" x14ac:dyDescent="0.25">
      <c r="I3">
        <f>SUM(Tableau13[s1])</f>
        <v>0</v>
      </c>
      <c r="J3">
        <f>SUM(Tableau13[s2])</f>
        <v>0</v>
      </c>
      <c r="K3">
        <f>SUM(Tableau13[s3])</f>
        <v>0</v>
      </c>
      <c r="L3" s="102">
        <f>SUM(Tableau13[s4])</f>
        <v>0</v>
      </c>
      <c r="M3" s="102">
        <f>SUM(Tableau13[s5])</f>
        <v>0</v>
      </c>
      <c r="N3" s="102">
        <f>SUM(Tableau13[s6])</f>
        <v>0</v>
      </c>
      <c r="O3" s="102">
        <f>SUM(Tableau13[s7])</f>
        <v>0</v>
      </c>
      <c r="P3" s="102">
        <f>SUM(Tableau13[s8])</f>
        <v>0</v>
      </c>
      <c r="Q3" s="102">
        <f>SUM(Tableau13[s9])</f>
        <v>0</v>
      </c>
      <c r="R3" s="102">
        <f>SUM(Tableau13[s10])</f>
        <v>0</v>
      </c>
      <c r="S3" s="102">
        <f>SUM(Tableau13[s11])</f>
        <v>0</v>
      </c>
      <c r="T3" s="102">
        <f>SUM(Tableau13[s12])</f>
        <v>0</v>
      </c>
      <c r="U3">
        <f>SUM(Tableau13[s13])</f>
        <v>0</v>
      </c>
      <c r="V3">
        <f>SUM(Tableau13[s14])</f>
        <v>0</v>
      </c>
      <c r="W3" s="134">
        <f>SUM(Tableau13[s15])</f>
        <v>0</v>
      </c>
      <c r="X3">
        <f>SUM(Tableau13[s16])</f>
        <v>0</v>
      </c>
      <c r="Y3">
        <f>SUM(Tableau13[s17])</f>
        <v>0</v>
      </c>
      <c r="Z3">
        <f>SUM(Tableau13[s18])</f>
        <v>0</v>
      </c>
      <c r="AA3">
        <f>SUM(Tableau13[s19])</f>
        <v>0</v>
      </c>
      <c r="AB3">
        <f>SUM(Tableau13[s20])</f>
        <v>0</v>
      </c>
      <c r="AC3">
        <f>SUM(Tableau13[s21])</f>
        <v>0</v>
      </c>
      <c r="AD3">
        <f>SUM(Tableau13[s22])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89"/>
      <c r="B5" s="89"/>
      <c r="C5" s="89"/>
      <c r="D5" s="90"/>
      <c r="E5" s="104"/>
      <c r="F5" s="27">
        <f>Tableau13[[#This Row],[durée]]-Tableau13[[#This Row],[Total]]</f>
        <v>0</v>
      </c>
      <c r="G5" s="27">
        <f>Tableau13[[#This Row],[durée]]*80%</f>
        <v>0</v>
      </c>
      <c r="H5" s="28">
        <f>SUM(Tableau13[[#This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90"/>
      <c r="B6" s="31"/>
      <c r="C6" s="31"/>
      <c r="D6" s="31"/>
      <c r="E6" s="165"/>
      <c r="F6" s="27">
        <f>Tableau13[[#This Row],[durée]]-Tableau13[[#This Row],[Total]]</f>
        <v>0</v>
      </c>
      <c r="G6" s="27">
        <f>Tableau13[[#This Row],[durée]]*80%</f>
        <v>0</v>
      </c>
      <c r="H6" s="28">
        <f>SUM(Tableau13[[#This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90"/>
      <c r="B7" s="31"/>
      <c r="C7" s="31"/>
      <c r="D7" s="31"/>
      <c r="E7" s="165"/>
      <c r="F7" s="27">
        <f>Tableau13[[#This Row],[durée]]-Tableau13[[#This Row],[Total]]</f>
        <v>0</v>
      </c>
      <c r="G7" s="27">
        <f>Tableau13[[#This Row],[durée]]*80%</f>
        <v>0</v>
      </c>
      <c r="H7" s="28">
        <f>SUM(Tableau13[[#This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90"/>
      <c r="B8" s="31"/>
      <c r="C8" s="31"/>
      <c r="D8" s="31"/>
      <c r="E8" s="165"/>
      <c r="F8" s="27">
        <f>Tableau13[[#This Row],[durée]]-Tableau13[[#This Row],[Total]]</f>
        <v>0</v>
      </c>
      <c r="G8" s="27">
        <f>Tableau13[[#This Row],[durée]]*80%</f>
        <v>0</v>
      </c>
      <c r="H8" s="28">
        <f>SUM(Tableau13[[#This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90"/>
      <c r="B9" s="31"/>
      <c r="C9" s="31"/>
      <c r="D9" s="31"/>
      <c r="E9" s="165"/>
      <c r="F9" s="27">
        <f>Tableau13[[#This Row],[durée]]-Tableau13[[#This Row],[Total]]</f>
        <v>0</v>
      </c>
      <c r="G9" s="27">
        <f>Tableau13[[#This Row],[durée]]*80%</f>
        <v>0</v>
      </c>
      <c r="H9" s="28">
        <f>SUM(Tableau13[[#This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90"/>
      <c r="B10" s="31"/>
      <c r="C10" s="31"/>
      <c r="D10" s="31"/>
      <c r="E10" s="165"/>
      <c r="F10" s="27">
        <f>Tableau13[[#This Row],[durée]]-Tableau13[[#This Row],[Total]]</f>
        <v>0</v>
      </c>
      <c r="G10" s="27">
        <f>Tableau13[[#This Row],[durée]]*80%</f>
        <v>0</v>
      </c>
      <c r="H10" s="28">
        <f>SUM(Tableau13[[#This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90"/>
      <c r="B11" s="31"/>
      <c r="C11" s="31"/>
      <c r="D11" s="31"/>
      <c r="E11" s="165"/>
      <c r="F11" s="27">
        <f>Tableau13[[#This Row],[durée]]-Tableau13[[#This Row],[Total]]</f>
        <v>0</v>
      </c>
      <c r="G11" s="27">
        <f>Tableau13[[#This Row],[durée]]*80%</f>
        <v>0</v>
      </c>
      <c r="H11" s="28">
        <f>SUM(Tableau13[[#This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90"/>
      <c r="B12" s="31"/>
      <c r="C12" s="31"/>
      <c r="D12" s="31"/>
      <c r="E12" s="165"/>
      <c r="F12" s="27">
        <f>Tableau13[[#This Row],[durée]]-Tableau13[[#This Row],[Total]]</f>
        <v>0</v>
      </c>
      <c r="G12" s="27">
        <f>Tableau13[[#This Row],[durée]]*80%</f>
        <v>0</v>
      </c>
      <c r="H12" s="28">
        <f>SUM(Tableau13[[#This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90"/>
      <c r="B13" s="31"/>
      <c r="C13" s="31"/>
      <c r="D13" s="31"/>
      <c r="E13" s="165"/>
      <c r="F13" s="27">
        <f>Tableau13[[#This Row],[durée]]-Tableau13[[#This Row],[Total]]</f>
        <v>0</v>
      </c>
      <c r="G13" s="27">
        <f>Tableau13[[#This Row],[durée]]*80%</f>
        <v>0</v>
      </c>
      <c r="H13" s="28">
        <f>SUM(Tableau13[[#This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90"/>
      <c r="B14" s="31"/>
      <c r="C14" s="31"/>
      <c r="D14" s="31"/>
      <c r="E14" s="165"/>
      <c r="F14" s="27">
        <f>Tableau13[[#This Row],[durée]]-Tableau13[[#This Row],[Total]]</f>
        <v>0</v>
      </c>
      <c r="G14" s="27">
        <f>Tableau13[[#This Row],[durée]]*80%</f>
        <v>0</v>
      </c>
      <c r="H14" s="28">
        <f>SUM(Tableau13[[#This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90"/>
      <c r="B15" s="31"/>
      <c r="C15" s="31"/>
      <c r="D15" s="31"/>
      <c r="E15" s="165"/>
      <c r="F15" s="27">
        <f>Tableau13[[#This Row],[durée]]-Tableau13[[#This Row],[Total]]</f>
        <v>0</v>
      </c>
      <c r="G15" s="27">
        <f>Tableau13[[#This Row],[durée]]*80%</f>
        <v>0</v>
      </c>
      <c r="H15" s="28">
        <f>SUM(Tableau13[[#This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90"/>
      <c r="B16" s="31"/>
      <c r="C16" s="31"/>
      <c r="D16" s="31"/>
      <c r="E16" s="165"/>
      <c r="F16" s="27">
        <f>Tableau13[[#This Row],[durée]]-Tableau13[[#This Row],[Total]]</f>
        <v>0</v>
      </c>
      <c r="G16" s="27">
        <f>Tableau13[[#This Row],[durée]]*80%</f>
        <v>0</v>
      </c>
      <c r="H16" s="28">
        <f>SUM(Tableau13[[#This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90"/>
      <c r="B17" s="31"/>
      <c r="C17" s="31"/>
      <c r="D17" s="31"/>
      <c r="E17" s="165"/>
      <c r="F17" s="27">
        <f>Tableau13[[#This Row],[durée]]-Tableau13[[#This Row],[Total]]</f>
        <v>0</v>
      </c>
      <c r="G17" s="27">
        <f>Tableau13[[#This Row],[durée]]*80%</f>
        <v>0</v>
      </c>
      <c r="H17" s="28">
        <f>SUM(Tableau13[[#This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90"/>
      <c r="B18" s="31"/>
      <c r="C18" s="31"/>
      <c r="D18" s="31"/>
      <c r="E18" s="165"/>
      <c r="F18" s="27">
        <f>Tableau13[[#This Row],[durée]]-Tableau13[[#This Row],[Total]]</f>
        <v>0</v>
      </c>
      <c r="G18" s="27">
        <f>Tableau13[[#This Row],[durée]]*80%</f>
        <v>0</v>
      </c>
      <c r="H18" s="28">
        <f>SUM(Tableau13[[#This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90"/>
      <c r="B19" s="31"/>
      <c r="C19" s="31"/>
      <c r="D19" s="31"/>
      <c r="E19" s="165"/>
      <c r="F19" s="27">
        <f>Tableau13[[#This Row],[durée]]-Tableau13[[#This Row],[Total]]</f>
        <v>0</v>
      </c>
      <c r="G19" s="27">
        <f>Tableau13[[#This Row],[durée]]*80%</f>
        <v>0</v>
      </c>
      <c r="H19" s="28">
        <f>SUM(Tableau13[[#This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90"/>
      <c r="B20" s="31"/>
      <c r="C20" s="31"/>
      <c r="D20" s="31"/>
      <c r="E20" s="165"/>
      <c r="F20" s="27">
        <f>Tableau13[[#This Row],[durée]]-Tableau13[[#This Row],[Total]]</f>
        <v>0</v>
      </c>
      <c r="G20" s="27">
        <f>Tableau13[[#This Row],[durée]]*80%</f>
        <v>0</v>
      </c>
      <c r="H20" s="28">
        <f>SUM(Tableau13[[#This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90"/>
      <c r="B21" s="31"/>
      <c r="C21" s="31"/>
      <c r="D21" s="31"/>
      <c r="E21" s="165"/>
      <c r="F21" s="27">
        <f>Tableau13[[#This Row],[durée]]-Tableau13[[#This Row],[Total]]</f>
        <v>0</v>
      </c>
      <c r="G21" s="27">
        <f>Tableau13[[#This Row],[durée]]*80%</f>
        <v>0</v>
      </c>
      <c r="H21" s="28">
        <f>SUM(Tableau13[[#This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91"/>
      <c r="B22" s="89"/>
      <c r="C22" s="89"/>
      <c r="D22" s="89"/>
      <c r="E22" s="104"/>
      <c r="F22" s="27">
        <f>Tableau13[[#This Row],[durée]]-Tableau13[[#This Row],[Total]]</f>
        <v>0</v>
      </c>
      <c r="G22" s="27">
        <f>Tableau13[[#This Row],[durée]]*80%</f>
        <v>0</v>
      </c>
      <c r="H22" s="28">
        <f>SUM(Tableau13[[#This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86"/>
      <c r="B23" s="86"/>
      <c r="C23" s="86"/>
      <c r="D23" s="86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86"/>
      <c r="B24" s="86"/>
      <c r="C24" s="86"/>
      <c r="D24" s="86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86"/>
      <c r="B25" s="86"/>
      <c r="C25" s="86"/>
      <c r="D25" s="86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86"/>
      <c r="B26" s="86"/>
      <c r="C26" s="86"/>
      <c r="D26" s="86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86"/>
      <c r="B27" s="86"/>
      <c r="C27" s="86"/>
      <c r="D27" s="86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86"/>
      <c r="B28" s="86"/>
      <c r="C28" s="86"/>
      <c r="D28" s="86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86"/>
      <c r="B29" s="86"/>
      <c r="C29" s="86"/>
      <c r="D29" s="86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86"/>
      <c r="B30" s="86"/>
      <c r="C30" s="86"/>
      <c r="D30" s="86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86"/>
      <c r="B31" s="86"/>
      <c r="C31" s="86"/>
      <c r="D31" s="86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A32" s="86"/>
      <c r="B32" s="86"/>
      <c r="C32" s="86"/>
      <c r="D32" s="86"/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:20" x14ac:dyDescent="0.25">
      <c r="A33" s="86"/>
      <c r="B33" s="86"/>
      <c r="C33" s="86"/>
      <c r="D33" s="86"/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:20" x14ac:dyDescent="0.25">
      <c r="A34" s="86"/>
      <c r="B34" s="86"/>
      <c r="C34" s="86"/>
      <c r="D34" s="86"/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:20" x14ac:dyDescent="0.25">
      <c r="A35" s="86"/>
      <c r="B35" s="86"/>
      <c r="C35" s="86"/>
      <c r="D35" s="86"/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:20" x14ac:dyDescent="0.25">
      <c r="A36" s="86"/>
      <c r="B36" s="86"/>
      <c r="C36" s="86"/>
      <c r="D36" s="86"/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20" x14ac:dyDescent="0.25">
      <c r="A37" s="86"/>
      <c r="B37" s="86"/>
      <c r="C37" s="86"/>
      <c r="D37" s="86"/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20" x14ac:dyDescent="0.25">
      <c r="A38" s="86"/>
      <c r="B38" s="86"/>
      <c r="C38" s="86"/>
      <c r="D38" s="86"/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20" x14ac:dyDescent="0.25">
      <c r="A39" s="86"/>
      <c r="B39" s="86"/>
      <c r="C39" s="86"/>
      <c r="D39" s="86"/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20" x14ac:dyDescent="0.25">
      <c r="A40" s="86"/>
      <c r="B40" s="86"/>
      <c r="C40" s="86"/>
      <c r="D40" s="86"/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20" x14ac:dyDescent="0.25">
      <c r="A41" s="86"/>
      <c r="B41" s="86"/>
      <c r="C41" s="86"/>
      <c r="D41" s="86"/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20" x14ac:dyDescent="0.25">
      <c r="A42" s="86"/>
      <c r="B42" s="86"/>
      <c r="C42" s="86"/>
      <c r="D42" s="86"/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20" x14ac:dyDescent="0.25">
      <c r="A43" s="86"/>
      <c r="B43" s="86"/>
      <c r="C43" s="86"/>
      <c r="D43" s="86"/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20" x14ac:dyDescent="0.25">
      <c r="A44" s="86"/>
      <c r="B44" s="86"/>
      <c r="C44" s="86"/>
      <c r="D44" s="86"/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20" x14ac:dyDescent="0.25">
      <c r="A45" s="86"/>
      <c r="B45" s="86"/>
      <c r="C45" s="86"/>
      <c r="D45" s="86"/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20" x14ac:dyDescent="0.25">
      <c r="A46" s="86"/>
      <c r="B46" s="86"/>
      <c r="C46" s="86"/>
      <c r="D46" s="86"/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20" x14ac:dyDescent="0.25">
      <c r="A47" s="86"/>
      <c r="B47" s="86"/>
      <c r="C47" s="86"/>
      <c r="D47" s="86"/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20" x14ac:dyDescent="0.25">
      <c r="A48" s="86"/>
      <c r="B48" s="86"/>
      <c r="C48" s="86"/>
      <c r="D48" s="86"/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:20" x14ac:dyDescent="0.25">
      <c r="A49" s="86"/>
      <c r="B49" s="86"/>
      <c r="C49" s="86"/>
      <c r="D49" s="86"/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:20" hidden="1" x14ac:dyDescent="0.25">
      <c r="A50" s="86"/>
      <c r="B50" s="86"/>
      <c r="C50" s="86"/>
      <c r="D50" s="86"/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:20" hidden="1" x14ac:dyDescent="0.25">
      <c r="A51" s="86"/>
      <c r="B51" s="86"/>
      <c r="C51" s="86"/>
      <c r="D51" s="86"/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:20" hidden="1" x14ac:dyDescent="0.25">
      <c r="A52" s="86"/>
      <c r="B52" s="86"/>
      <c r="C52" s="86"/>
      <c r="D52" s="86"/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:20" hidden="1" x14ac:dyDescent="0.25">
      <c r="A53" s="86"/>
      <c r="B53" s="86"/>
      <c r="C53" s="86"/>
      <c r="D53" s="86"/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:20" hidden="1" x14ac:dyDescent="0.25">
      <c r="A54" s="86"/>
      <c r="B54" s="86"/>
      <c r="C54" s="86"/>
      <c r="D54" s="86"/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:20" hidden="1" x14ac:dyDescent="0.25">
      <c r="A55" s="86"/>
      <c r="B55" s="86"/>
      <c r="C55" s="86"/>
      <c r="D55" s="86"/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:20" hidden="1" x14ac:dyDescent="0.25">
      <c r="A56" s="86"/>
      <c r="B56" s="86"/>
      <c r="C56" s="86"/>
      <c r="D56" s="86"/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:20" x14ac:dyDescent="0.25">
      <c r="A57" s="86"/>
      <c r="B57" s="86"/>
      <c r="C57" s="86"/>
      <c r="D57" s="86"/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:20" x14ac:dyDescent="0.25">
      <c r="A58" s="86"/>
      <c r="B58" s="86"/>
      <c r="C58" s="86"/>
      <c r="D58" s="86"/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:20" x14ac:dyDescent="0.25">
      <c r="A59" s="86"/>
      <c r="B59" s="86"/>
      <c r="C59" s="86"/>
      <c r="D59" s="86"/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:20" x14ac:dyDescent="0.25">
      <c r="A60" s="86"/>
      <c r="B60" s="86"/>
      <c r="C60" s="86"/>
      <c r="D60" s="86"/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:20" x14ac:dyDescent="0.25">
      <c r="A61" s="86"/>
      <c r="B61" s="86"/>
      <c r="C61" s="86"/>
      <c r="D61" s="86"/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:20" x14ac:dyDescent="0.25">
      <c r="A62" s="86"/>
      <c r="B62" s="86"/>
      <c r="C62" s="86"/>
      <c r="D62" s="86"/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:20" x14ac:dyDescent="0.25">
      <c r="A63" s="86"/>
      <c r="B63" s="86"/>
      <c r="C63" s="86"/>
      <c r="D63" s="86"/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:20" x14ac:dyDescent="0.25">
      <c r="A64" s="86"/>
      <c r="B64" s="86"/>
      <c r="C64" s="86"/>
      <c r="D64" s="86"/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:20" x14ac:dyDescent="0.25">
      <c r="A65" s="86"/>
      <c r="B65" s="86"/>
      <c r="C65" s="86"/>
      <c r="D65" s="86"/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:20" x14ac:dyDescent="0.25">
      <c r="A66" s="86"/>
      <c r="B66" s="86"/>
      <c r="C66" s="86"/>
      <c r="D66" s="86"/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:20" x14ac:dyDescent="0.25">
      <c r="A67" s="86"/>
      <c r="B67" s="86"/>
      <c r="C67" s="86"/>
      <c r="D67" s="86"/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:20" x14ac:dyDescent="0.25">
      <c r="A68" s="86"/>
      <c r="B68" s="86"/>
      <c r="C68" s="86"/>
      <c r="D68" s="86"/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:20" x14ac:dyDescent="0.25">
      <c r="A69" s="86"/>
      <c r="B69" s="86"/>
      <c r="C69" s="86"/>
      <c r="D69" s="86"/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:20" x14ac:dyDescent="0.25">
      <c r="A70" s="86"/>
      <c r="B70" s="86"/>
      <c r="C70" s="86"/>
      <c r="D70" s="86"/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:20" x14ac:dyDescent="0.25">
      <c r="A71" s="86"/>
      <c r="B71" s="86"/>
      <c r="C71" s="86"/>
      <c r="D71" s="86"/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:20" x14ac:dyDescent="0.25">
      <c r="A72" s="86"/>
      <c r="B72" s="86"/>
      <c r="C72" s="86"/>
      <c r="D72" s="86"/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:20" x14ac:dyDescent="0.25">
      <c r="A73" s="86"/>
      <c r="B73" s="86"/>
      <c r="C73" s="86"/>
      <c r="D73" s="86"/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:20" x14ac:dyDescent="0.25">
      <c r="A74" s="86"/>
      <c r="B74" s="86"/>
      <c r="C74" s="86"/>
      <c r="D74" s="86"/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:20" x14ac:dyDescent="0.25">
      <c r="A75" s="86"/>
      <c r="B75" s="86"/>
      <c r="C75" s="86"/>
      <c r="D75" s="86"/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:20" x14ac:dyDescent="0.25">
      <c r="A76" s="86"/>
      <c r="B76" s="86"/>
      <c r="C76" s="86"/>
      <c r="D76" s="86"/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:20" x14ac:dyDescent="0.25">
      <c r="A77" s="86"/>
      <c r="B77" s="86"/>
      <c r="C77" s="86"/>
      <c r="D77" s="86"/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:20" x14ac:dyDescent="0.25">
      <c r="A78" s="86"/>
      <c r="B78" s="86"/>
      <c r="C78" s="86"/>
      <c r="D78" s="86"/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:20" x14ac:dyDescent="0.25">
      <c r="A79" s="86"/>
      <c r="B79" s="86"/>
      <c r="C79" s="86"/>
      <c r="D79" s="86"/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:20" x14ac:dyDescent="0.25">
      <c r="A80" s="86"/>
      <c r="B80" s="86"/>
      <c r="C80" s="86"/>
      <c r="D80" s="86"/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:20" x14ac:dyDescent="0.25">
      <c r="A81" s="86"/>
      <c r="B81" s="86"/>
      <c r="C81" s="86"/>
      <c r="D81" s="86"/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:20" x14ac:dyDescent="0.25">
      <c r="A82" s="86"/>
      <c r="B82" s="86"/>
      <c r="C82" s="86"/>
      <c r="D82" s="86"/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:20" x14ac:dyDescent="0.25">
      <c r="A83" s="86"/>
      <c r="B83" s="86"/>
      <c r="C83" s="86"/>
      <c r="D83" s="86"/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:20" x14ac:dyDescent="0.25">
      <c r="A84" s="86"/>
      <c r="B84" s="86"/>
      <c r="C84" s="86"/>
      <c r="D84" s="86"/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:20" x14ac:dyDescent="0.25">
      <c r="A85" s="86"/>
      <c r="B85" s="86"/>
      <c r="C85" s="86"/>
      <c r="D85" s="86"/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:20" x14ac:dyDescent="0.25">
      <c r="A86" s="86"/>
      <c r="B86" s="86"/>
      <c r="C86" s="86"/>
      <c r="D86" s="86"/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:20" x14ac:dyDescent="0.25">
      <c r="A87" s="86"/>
      <c r="B87" s="86"/>
      <c r="C87" s="86"/>
      <c r="D87" s="86"/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:20" x14ac:dyDescent="0.25">
      <c r="A88" s="86"/>
      <c r="B88" s="86"/>
      <c r="C88" s="86"/>
      <c r="D88" s="86"/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:20" x14ac:dyDescent="0.25">
      <c r="A89" s="86"/>
      <c r="B89" s="86"/>
      <c r="C89" s="86"/>
      <c r="D89" s="86"/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:20" x14ac:dyDescent="0.25">
      <c r="A90" s="86"/>
      <c r="B90" s="86"/>
      <c r="C90" s="86"/>
      <c r="D90" s="86"/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:20" x14ac:dyDescent="0.25">
      <c r="A91" s="86"/>
      <c r="B91" s="86"/>
      <c r="C91" s="86"/>
      <c r="D91" s="86"/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:20" x14ac:dyDescent="0.25">
      <c r="A92" s="86"/>
      <c r="B92" s="86"/>
      <c r="C92" s="86"/>
      <c r="D92" s="86"/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:20" x14ac:dyDescent="0.25">
      <c r="A93" s="86"/>
      <c r="B93" s="86"/>
      <c r="C93" s="86"/>
      <c r="D93" s="86"/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:20" x14ac:dyDescent="0.25">
      <c r="A94" s="86"/>
      <c r="B94" s="86"/>
      <c r="C94" s="86"/>
      <c r="D94" s="86"/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:20" x14ac:dyDescent="0.25">
      <c r="A95" s="86"/>
      <c r="B95" s="86"/>
      <c r="C95" s="86"/>
      <c r="D95" s="86"/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:20" x14ac:dyDescent="0.25">
      <c r="A96" s="86"/>
      <c r="B96" s="86"/>
      <c r="C96" s="86"/>
      <c r="D96" s="86"/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:20" x14ac:dyDescent="0.25">
      <c r="A97" s="86"/>
      <c r="B97" s="86"/>
      <c r="C97" s="86"/>
      <c r="D97" s="86"/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:20" x14ac:dyDescent="0.25">
      <c r="A98" s="86"/>
      <c r="B98" s="86"/>
      <c r="C98" s="86"/>
      <c r="D98" s="86"/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:20" x14ac:dyDescent="0.25">
      <c r="A99" s="86"/>
      <c r="B99" s="86"/>
      <c r="C99" s="86"/>
      <c r="D99" s="86"/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:20" x14ac:dyDescent="0.25">
      <c r="A100" s="86"/>
      <c r="B100" s="86"/>
      <c r="C100" s="86"/>
      <c r="D100" s="86"/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:20" x14ac:dyDescent="0.25">
      <c r="A101" s="86"/>
      <c r="B101" s="86"/>
      <c r="C101" s="86"/>
      <c r="D101" s="86"/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:20" x14ac:dyDescent="0.25">
      <c r="A102" s="86"/>
      <c r="B102" s="86"/>
      <c r="C102" s="86"/>
      <c r="D102" s="86"/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:20" x14ac:dyDescent="0.25">
      <c r="A103" s="86"/>
      <c r="B103" s="86"/>
      <c r="C103" s="86"/>
      <c r="D103" s="86"/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:20" x14ac:dyDescent="0.25">
      <c r="A104" s="86"/>
      <c r="B104" s="86"/>
      <c r="C104" s="86"/>
      <c r="D104" s="86"/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:20" x14ac:dyDescent="0.25">
      <c r="A105" s="86"/>
      <c r="B105" s="86"/>
      <c r="C105" s="86"/>
      <c r="D105" s="86"/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:20" x14ac:dyDescent="0.25">
      <c r="A106" s="86"/>
      <c r="B106" s="86"/>
      <c r="C106" s="86"/>
      <c r="D106" s="86"/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:20" x14ac:dyDescent="0.25">
      <c r="A107" s="86"/>
      <c r="B107" s="86"/>
      <c r="C107" s="86"/>
      <c r="D107" s="86"/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:20" x14ac:dyDescent="0.25">
      <c r="A108" s="86"/>
      <c r="B108" s="86"/>
      <c r="C108" s="86"/>
      <c r="D108" s="86"/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:20" x14ac:dyDescent="0.25">
      <c r="A109" s="86"/>
      <c r="B109" s="86"/>
      <c r="C109" s="86"/>
      <c r="D109" s="86"/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:20" x14ac:dyDescent="0.25">
      <c r="A110" s="86"/>
      <c r="B110" s="86"/>
      <c r="C110" s="86"/>
      <c r="D110" s="86"/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:20" x14ac:dyDescent="0.25">
      <c r="A111" s="86"/>
      <c r="B111" s="86"/>
      <c r="C111" s="86"/>
      <c r="D111" s="86"/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:20" x14ac:dyDescent="0.25">
      <c r="A112" s="86"/>
      <c r="B112" s="86"/>
      <c r="C112" s="86"/>
      <c r="D112" s="86"/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:20" x14ac:dyDescent="0.25">
      <c r="A113" s="86"/>
      <c r="B113" s="86"/>
      <c r="C113" s="86"/>
      <c r="D113" s="86"/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:20" x14ac:dyDescent="0.25">
      <c r="A114" s="86"/>
      <c r="B114" s="86"/>
      <c r="C114" s="86"/>
      <c r="D114" s="86"/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:20" x14ac:dyDescent="0.25">
      <c r="A115" s="86"/>
      <c r="B115" s="86"/>
      <c r="C115" s="86"/>
      <c r="D115" s="86"/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:20" x14ac:dyDescent="0.25">
      <c r="A116" s="86"/>
      <c r="B116" s="86"/>
      <c r="C116" s="86"/>
      <c r="D116" s="86"/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:20" x14ac:dyDescent="0.25">
      <c r="A117" s="86"/>
      <c r="B117" s="86"/>
      <c r="C117" s="86"/>
      <c r="D117" s="86"/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:20" x14ac:dyDescent="0.25">
      <c r="A118" s="86"/>
      <c r="B118" s="86"/>
      <c r="C118" s="86"/>
      <c r="D118" s="86"/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:20" x14ac:dyDescent="0.25">
      <c r="A119" s="86"/>
      <c r="B119" s="86"/>
      <c r="C119" s="86"/>
      <c r="D119" s="86"/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:20" x14ac:dyDescent="0.25">
      <c r="A120" s="86"/>
      <c r="B120" s="86"/>
      <c r="C120" s="86"/>
      <c r="D120" s="86"/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:20" x14ac:dyDescent="0.25">
      <c r="A121" s="86"/>
      <c r="B121" s="86"/>
      <c r="C121" s="86"/>
      <c r="D121" s="86"/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:20" x14ac:dyDescent="0.25">
      <c r="A122" s="86"/>
      <c r="B122" s="86"/>
      <c r="C122" s="86"/>
      <c r="D122" s="86"/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:20" x14ac:dyDescent="0.25">
      <c r="A123" s="86"/>
      <c r="B123" s="86"/>
      <c r="C123" s="86"/>
      <c r="D123" s="86"/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:20" x14ac:dyDescent="0.25">
      <c r="A124" s="86"/>
      <c r="B124" s="86"/>
      <c r="C124" s="86"/>
      <c r="D124" s="86"/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:20" x14ac:dyDescent="0.25">
      <c r="A125" s="86"/>
      <c r="B125" s="86"/>
      <c r="C125" s="86"/>
      <c r="D125" s="86"/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:20" x14ac:dyDescent="0.25">
      <c r="A126" s="86"/>
      <c r="B126" s="86"/>
      <c r="C126" s="86"/>
      <c r="D126" s="86"/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:20" x14ac:dyDescent="0.25">
      <c r="A127" s="86"/>
      <c r="B127" s="86"/>
      <c r="C127" s="86"/>
      <c r="D127" s="86"/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:20" x14ac:dyDescent="0.25">
      <c r="A128" s="86"/>
      <c r="B128" s="86"/>
      <c r="C128" s="86"/>
      <c r="D128" s="86"/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:20" x14ac:dyDescent="0.25">
      <c r="A129" s="86"/>
      <c r="B129" s="86"/>
      <c r="C129" s="86"/>
      <c r="D129" s="86"/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:20" x14ac:dyDescent="0.25">
      <c r="A130" s="86"/>
      <c r="B130" s="86"/>
      <c r="C130" s="86"/>
      <c r="D130" s="86"/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:20" x14ac:dyDescent="0.25">
      <c r="A131" s="86"/>
      <c r="B131" s="86"/>
      <c r="C131" s="86"/>
      <c r="D131" s="86"/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:20" x14ac:dyDescent="0.25">
      <c r="A132" s="86"/>
      <c r="B132" s="86"/>
      <c r="C132" s="86"/>
      <c r="D132" s="86"/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:20" x14ac:dyDescent="0.25">
      <c r="A133" s="86"/>
      <c r="B133" s="86"/>
      <c r="C133" s="86"/>
      <c r="D133" s="86"/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:20" x14ac:dyDescent="0.25">
      <c r="A134" s="86"/>
      <c r="B134" s="86"/>
      <c r="C134" s="86"/>
      <c r="D134" s="86"/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:20" x14ac:dyDescent="0.25">
      <c r="A135" s="86"/>
      <c r="B135" s="86"/>
      <c r="C135" s="86"/>
      <c r="D135" s="86"/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:20" x14ac:dyDescent="0.25">
      <c r="A136" s="86"/>
      <c r="B136" s="86"/>
      <c r="C136" s="86"/>
      <c r="D136" s="86"/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:20" x14ac:dyDescent="0.25">
      <c r="A137" s="86"/>
      <c r="B137" s="86"/>
      <c r="C137" s="86"/>
      <c r="D137" s="86"/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:20" x14ac:dyDescent="0.25">
      <c r="A138" s="86"/>
      <c r="B138" s="86"/>
      <c r="C138" s="86"/>
      <c r="D138" s="86"/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:20" x14ac:dyDescent="0.25">
      <c r="A139" s="86"/>
      <c r="B139" s="86"/>
      <c r="C139" s="86"/>
      <c r="D139" s="86"/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:20" x14ac:dyDescent="0.25">
      <c r="A140" s="86"/>
      <c r="B140" s="86"/>
      <c r="C140" s="86"/>
      <c r="D140" s="86"/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:20" x14ac:dyDescent="0.25">
      <c r="A141" s="86"/>
      <c r="B141" s="86"/>
      <c r="C141" s="86"/>
      <c r="D141" s="86"/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:20" x14ac:dyDescent="0.25">
      <c r="A142" s="86"/>
      <c r="B142" s="86"/>
      <c r="C142" s="86"/>
      <c r="D142" s="86"/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:20" x14ac:dyDescent="0.25">
      <c r="A143" s="86"/>
      <c r="B143" s="86"/>
      <c r="C143" s="86"/>
      <c r="D143" s="86"/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:20" x14ac:dyDescent="0.25">
      <c r="A144" s="86"/>
      <c r="B144" s="86"/>
      <c r="C144" s="86"/>
      <c r="D144" s="86"/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:20" x14ac:dyDescent="0.25">
      <c r="A145" s="86"/>
      <c r="B145" s="86"/>
      <c r="C145" s="86"/>
      <c r="D145" s="86"/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:20" x14ac:dyDescent="0.25">
      <c r="A146" s="86"/>
      <c r="B146" s="86"/>
      <c r="C146" s="86"/>
      <c r="D146" s="86"/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:20" x14ac:dyDescent="0.25">
      <c r="A147" s="86"/>
      <c r="B147" s="86"/>
      <c r="C147" s="86"/>
      <c r="D147" s="86"/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:20" x14ac:dyDescent="0.25">
      <c r="A148" s="86"/>
      <c r="B148" s="86"/>
      <c r="C148" s="86"/>
      <c r="D148" s="86"/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:20" x14ac:dyDescent="0.25">
      <c r="A149" s="86"/>
      <c r="B149" s="86"/>
      <c r="C149" s="86"/>
      <c r="D149" s="86"/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:20" x14ac:dyDescent="0.25">
      <c r="A150" s="86"/>
      <c r="B150" s="86"/>
      <c r="C150" s="86"/>
      <c r="D150" s="86"/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:20" x14ac:dyDescent="0.25">
      <c r="A151" s="86"/>
      <c r="B151" s="86"/>
      <c r="C151" s="86"/>
      <c r="D151" s="86"/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:20" x14ac:dyDescent="0.25">
      <c r="A152" s="86"/>
      <c r="B152" s="86"/>
      <c r="C152" s="86"/>
      <c r="D152" s="86"/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:20" x14ac:dyDescent="0.25">
      <c r="A153" s="86"/>
      <c r="B153" s="86"/>
      <c r="C153" s="86"/>
      <c r="D153" s="86"/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:20" x14ac:dyDescent="0.25">
      <c r="A154" s="86"/>
      <c r="B154" s="86"/>
      <c r="C154" s="86"/>
      <c r="D154" s="86"/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T162"/>
  <sheetViews>
    <sheetView zoomScale="85" zoomScaleNormal="85" workbookViewId="0">
      <selection activeCell="D4" sqref="D4"/>
    </sheetView>
  </sheetViews>
  <sheetFormatPr defaultColWidth="9.140625" defaultRowHeight="15" x14ac:dyDescent="0.25"/>
  <cols>
    <col min="1" max="1" width="4.7109375" customWidth="1"/>
    <col min="2" max="2" width="58.85546875" customWidth="1"/>
    <col min="3" max="3" width="11" customWidth="1"/>
    <col min="4" max="4" width="11.85546875" customWidth="1"/>
    <col min="5" max="5" width="18.85546875" customWidth="1"/>
    <col min="6" max="6" width="15.7109375" customWidth="1"/>
    <col min="7" max="7" width="5.5703125" customWidth="1"/>
    <col min="8" max="8" width="0.7109375" customWidth="1"/>
    <col min="9" max="9" width="5.42578125" customWidth="1"/>
    <col min="11" max="11" width="5.85546875" customWidth="1"/>
    <col min="14" max="14" width="12.7109375" customWidth="1"/>
    <col min="16" max="16" width="20" customWidth="1"/>
  </cols>
  <sheetData>
    <row r="1" spans="1:20" ht="21.75" thickBot="1" x14ac:dyDescent="0.4">
      <c r="B1" s="126" t="s">
        <v>94</v>
      </c>
      <c r="G1" t="s">
        <v>53</v>
      </c>
      <c r="P1" s="161" t="str">
        <f>VLOOKUP(D4,Admin!F4:J33,3,FALSE)</f>
        <v>Maq2020</v>
      </c>
    </row>
    <row r="2" spans="1:20" ht="47.25" customHeight="1" thickBot="1" x14ac:dyDescent="0.85">
      <c r="A2" s="115"/>
      <c r="B2" s="192" t="s">
        <v>85</v>
      </c>
      <c r="C2" s="193"/>
      <c r="D2" s="193"/>
      <c r="E2" s="194"/>
      <c r="F2" s="123"/>
    </row>
    <row r="3" spans="1:20" ht="20.25" customHeight="1" thickBot="1" x14ac:dyDescent="0.3">
      <c r="D3" s="160" t="s">
        <v>197</v>
      </c>
      <c r="L3" s="102"/>
      <c r="M3" s="102"/>
      <c r="N3" s="102"/>
      <c r="O3" s="102"/>
      <c r="P3" s="102"/>
      <c r="Q3" s="102"/>
      <c r="R3" s="102"/>
      <c r="S3" s="102"/>
      <c r="T3" s="102"/>
    </row>
    <row r="4" spans="1:20" ht="22.5" customHeight="1" x14ac:dyDescent="0.45">
      <c r="B4" s="124" t="s">
        <v>88</v>
      </c>
      <c r="D4" s="125" t="s">
        <v>44</v>
      </c>
      <c r="E4" s="125"/>
      <c r="F4" s="125"/>
      <c r="J4" s="196"/>
      <c r="K4" s="196"/>
      <c r="L4" s="196"/>
      <c r="M4" s="102"/>
      <c r="N4" s="102"/>
      <c r="O4" s="102"/>
      <c r="P4" s="102"/>
      <c r="Q4" s="102"/>
      <c r="R4" s="102"/>
      <c r="S4" s="102"/>
      <c r="T4" s="102"/>
    </row>
    <row r="5" spans="1:20" ht="21" x14ac:dyDescent="0.35">
      <c r="B5" s="124" t="s">
        <v>149</v>
      </c>
      <c r="D5" s="195">
        <v>44346</v>
      </c>
      <c r="E5" s="195"/>
      <c r="L5" s="102"/>
      <c r="M5" s="102"/>
      <c r="N5" s="102"/>
      <c r="O5" s="102"/>
      <c r="P5" s="102"/>
      <c r="Q5" s="102"/>
      <c r="R5" s="102"/>
      <c r="S5" s="102"/>
      <c r="T5" s="102"/>
    </row>
    <row r="6" spans="1:20" ht="18.75" x14ac:dyDescent="0.25">
      <c r="A6" s="130" t="s">
        <v>2</v>
      </c>
      <c r="B6" s="130" t="s">
        <v>1</v>
      </c>
      <c r="C6" s="130" t="s">
        <v>4</v>
      </c>
      <c r="D6" s="130" t="s">
        <v>86</v>
      </c>
      <c r="E6" s="131" t="s">
        <v>87</v>
      </c>
      <c r="F6" s="132" t="s">
        <v>171</v>
      </c>
      <c r="L6" s="102"/>
      <c r="M6" s="102"/>
      <c r="N6" s="102"/>
      <c r="O6" s="102"/>
      <c r="P6" s="102"/>
      <c r="Q6" s="102"/>
      <c r="R6" s="102"/>
      <c r="S6" s="102"/>
      <c r="T6" s="102"/>
    </row>
    <row r="7" spans="1:20" ht="18.75" x14ac:dyDescent="0.25">
      <c r="A7" s="89">
        <v>1</v>
      </c>
      <c r="B7" s="104" t="s">
        <v>131</v>
      </c>
      <c r="C7" s="90">
        <v>30</v>
      </c>
      <c r="D7" s="129">
        <f>SUMIFS(programmer!$H$3:$H$88886,programmer!$D$3:$D$88886,B7,programmer!$I$3:$I$88886,$G$1,programmer!$B$3:$B$88886,$D$4,programmer!$F$3:$F$88886,"&lt;="&amp;$D$5)*24</f>
        <v>0</v>
      </c>
      <c r="E7" s="128">
        <f>Formation!$D7/Formation!$C7</f>
        <v>0</v>
      </c>
      <c r="F7" s="127" t="str">
        <f>IF(E7&gt;=80%,"Achevé","En cours")</f>
        <v>En cours</v>
      </c>
      <c r="L7" s="102"/>
      <c r="M7" s="102"/>
      <c r="N7" s="102"/>
      <c r="O7" s="102"/>
      <c r="P7" s="102"/>
      <c r="Q7" s="102"/>
      <c r="R7" s="102"/>
      <c r="S7" s="102"/>
      <c r="T7" s="102"/>
    </row>
    <row r="8" spans="1:20" ht="18.75" x14ac:dyDescent="0.25">
      <c r="A8" s="89">
        <v>2</v>
      </c>
      <c r="B8" s="104" t="s">
        <v>132</v>
      </c>
      <c r="C8" s="90">
        <v>30</v>
      </c>
      <c r="D8" s="129">
        <f>SUMIFS(programmer!$H$3:$H$88886,programmer!$D$3:$D$88886,B8,programmer!$I$3:$I$88886,$G$1,programmer!$B$3:$B$88886,$D$4,programmer!$F$3:$F$88886,"&lt;="&amp;$D$5)*24</f>
        <v>0</v>
      </c>
      <c r="E8" s="128">
        <f>Formation!$D8/Formation!$C8</f>
        <v>0</v>
      </c>
      <c r="F8" s="127" t="str">
        <f t="shared" ref="F8:F39" si="0">IF(E8&gt;=80%,"Achevé","En cours")</f>
        <v>En cours</v>
      </c>
      <c r="L8" s="102"/>
      <c r="M8" s="102"/>
      <c r="N8" s="102"/>
      <c r="O8" s="102"/>
      <c r="P8" s="102"/>
      <c r="Q8" s="102"/>
      <c r="R8" s="102"/>
      <c r="S8" s="102"/>
      <c r="T8" s="102"/>
    </row>
    <row r="9" spans="1:20" ht="18.75" x14ac:dyDescent="0.25">
      <c r="A9" s="89">
        <v>3</v>
      </c>
      <c r="B9" s="104" t="s">
        <v>133</v>
      </c>
      <c r="C9" s="90">
        <v>30</v>
      </c>
      <c r="D9" s="129">
        <f>SUMIFS(programmer!$H$3:$H$88886,programmer!$D$3:$D$88886,B9,programmer!$I$3:$I$88886,$G$1,programmer!$B$3:$B$88886,$D$4,programmer!$F$3:$F$88886,"&lt;="&amp;$D$5)*24</f>
        <v>0</v>
      </c>
      <c r="E9" s="128">
        <f>Formation!$D9/Formation!$C9</f>
        <v>0</v>
      </c>
      <c r="F9" s="127" t="str">
        <f t="shared" si="0"/>
        <v>En cours</v>
      </c>
      <c r="L9" s="102"/>
      <c r="M9" s="102"/>
      <c r="N9" s="102"/>
      <c r="O9" s="102"/>
      <c r="P9" s="102"/>
      <c r="Q9" s="102"/>
      <c r="R9" s="102"/>
      <c r="S9" s="102"/>
      <c r="T9" s="102"/>
    </row>
    <row r="10" spans="1:20" ht="18.75" x14ac:dyDescent="0.25">
      <c r="A10" s="89">
        <v>4</v>
      </c>
      <c r="B10" s="104" t="s">
        <v>134</v>
      </c>
      <c r="C10" s="90">
        <v>45</v>
      </c>
      <c r="D10" s="129">
        <f>SUMIFS(programmer!$H$3:$H$88886,programmer!$D$3:$D$88886,B10,programmer!$I$3:$I$88886,$G$1,programmer!$B$3:$B$88886,$D$4,programmer!$F$3:$F$88886,"&lt;="&amp;$D$5)*24</f>
        <v>0</v>
      </c>
      <c r="E10" s="128">
        <f>Formation!$D10/Formation!$C10</f>
        <v>0</v>
      </c>
      <c r="F10" s="127" t="str">
        <f t="shared" si="0"/>
        <v>En cours</v>
      </c>
      <c r="L10" s="102"/>
      <c r="M10" s="102"/>
      <c r="N10" s="102"/>
      <c r="O10" s="102"/>
      <c r="P10" s="102"/>
      <c r="Q10" s="102"/>
      <c r="R10" s="102"/>
      <c r="S10" s="102"/>
      <c r="T10" s="102"/>
    </row>
    <row r="11" spans="1:20" ht="18.75" x14ac:dyDescent="0.25">
      <c r="A11" s="89">
        <v>5</v>
      </c>
      <c r="B11" s="104" t="s">
        <v>135</v>
      </c>
      <c r="C11" s="90">
        <v>75</v>
      </c>
      <c r="D11" s="129">
        <f>SUMIFS(programmer!$H$3:$H$88886,programmer!$D$3:$D$88886,B11,programmer!$I$3:$I$88886,$G$1,programmer!$B$3:$B$88886,$D$4,programmer!$F$3:$F$88886,"&lt;="&amp;$D$5)*24</f>
        <v>0</v>
      </c>
      <c r="E11" s="128">
        <f>Formation!$D11/Formation!$C11</f>
        <v>0</v>
      </c>
      <c r="F11" s="127" t="str">
        <f t="shared" si="0"/>
        <v>En cours</v>
      </c>
      <c r="L11" s="102"/>
      <c r="M11" s="102"/>
      <c r="N11" s="102"/>
      <c r="O11" s="102"/>
      <c r="P11" s="102"/>
      <c r="Q11" s="102"/>
      <c r="R11" s="102"/>
      <c r="S11" s="102"/>
      <c r="T11" s="102"/>
    </row>
    <row r="12" spans="1:20" ht="18.75" x14ac:dyDescent="0.25">
      <c r="A12" s="89">
        <v>6</v>
      </c>
      <c r="B12" s="104" t="s">
        <v>136</v>
      </c>
      <c r="C12" s="90">
        <v>30</v>
      </c>
      <c r="D12" s="129">
        <f>SUMIFS(programmer!$H$3:$H$88886,programmer!$D$3:$D$88886,B12,programmer!$I$3:$I$88886,$G$1,programmer!$B$3:$B$88886,$D$4,programmer!$F$3:$F$88886,"&lt;="&amp;$D$5)*24</f>
        <v>0</v>
      </c>
      <c r="E12" s="128">
        <f>Formation!$D12/Formation!$C12</f>
        <v>0</v>
      </c>
      <c r="F12" s="127" t="str">
        <f t="shared" si="0"/>
        <v>En cours</v>
      </c>
      <c r="L12" s="102"/>
      <c r="M12" s="102"/>
      <c r="N12" s="102"/>
      <c r="O12" s="102"/>
      <c r="P12" s="102"/>
      <c r="Q12" s="102"/>
      <c r="R12" s="102"/>
      <c r="S12" s="102"/>
      <c r="T12" s="102"/>
    </row>
    <row r="13" spans="1:20" ht="18.75" x14ac:dyDescent="0.25">
      <c r="A13" s="89">
        <v>7</v>
      </c>
      <c r="B13" s="104" t="s">
        <v>137</v>
      </c>
      <c r="C13" s="90">
        <v>30</v>
      </c>
      <c r="D13" s="129">
        <f>SUMIFS(programmer!$H$3:$H$88886,programmer!$D$3:$D$88886,B13,programmer!$I$3:$I$88886,$G$1,programmer!$B$3:$B$88886,$D$4,programmer!$F$3:$F$88886,"&lt;="&amp;$D$5)*24</f>
        <v>0</v>
      </c>
      <c r="E13" s="128">
        <f>Formation!$D13/Formation!$C13</f>
        <v>0</v>
      </c>
      <c r="F13" s="127" t="str">
        <f t="shared" si="0"/>
        <v>En cours</v>
      </c>
      <c r="L13" s="102"/>
      <c r="M13" s="102"/>
      <c r="N13" s="102"/>
      <c r="O13" s="102"/>
      <c r="P13" s="102"/>
      <c r="Q13" s="102"/>
      <c r="R13" s="102"/>
      <c r="S13" s="102"/>
      <c r="T13" s="102"/>
    </row>
    <row r="14" spans="1:20" ht="18.75" x14ac:dyDescent="0.25">
      <c r="A14" s="89">
        <v>8</v>
      </c>
      <c r="B14" s="104" t="s">
        <v>138</v>
      </c>
      <c r="C14" s="90">
        <v>75</v>
      </c>
      <c r="D14" s="129">
        <f>SUMIFS(programmer!$H$3:$H$88886,programmer!$D$3:$D$88886,B14,programmer!$I$3:$I$88886,$G$1,programmer!$B$3:$B$88886,$D$4,programmer!$F$3:$F$88886,"&lt;="&amp;$D$5)*24</f>
        <v>0</v>
      </c>
      <c r="E14" s="128">
        <f>Formation!$D14/Formation!$C14</f>
        <v>0</v>
      </c>
      <c r="F14" s="127" t="str">
        <f t="shared" si="0"/>
        <v>En cours</v>
      </c>
      <c r="L14" s="102"/>
      <c r="M14" s="102"/>
      <c r="N14" s="102"/>
      <c r="O14" s="102"/>
      <c r="P14" s="102"/>
      <c r="Q14" s="102"/>
      <c r="R14" s="102"/>
      <c r="S14" s="102"/>
      <c r="T14" s="102"/>
    </row>
    <row r="15" spans="1:20" ht="18.75" x14ac:dyDescent="0.25">
      <c r="A15" s="89">
        <v>9</v>
      </c>
      <c r="B15" s="105" t="s">
        <v>139</v>
      </c>
      <c r="C15" s="90">
        <v>60</v>
      </c>
      <c r="D15" s="129">
        <f>SUMIFS(programmer!$H$3:$H$88886,programmer!$D$3:$D$88886,B15,programmer!$I$3:$I$88886,$G$1,programmer!$B$3:$B$88886,$D$4,programmer!$F$3:$F$88886,"&lt;="&amp;$D$5)*24</f>
        <v>0</v>
      </c>
      <c r="E15" s="128">
        <f>Formation!$D15/Formation!$C15</f>
        <v>0</v>
      </c>
      <c r="F15" s="127" t="str">
        <f t="shared" si="0"/>
        <v>En cours</v>
      </c>
      <c r="L15" s="102"/>
      <c r="M15" s="102"/>
      <c r="N15" s="102"/>
      <c r="O15" s="102"/>
      <c r="P15" s="102"/>
      <c r="Q15" s="102"/>
      <c r="R15" s="102"/>
      <c r="S15" s="102"/>
      <c r="T15" s="102"/>
    </row>
    <row r="16" spans="1:20" ht="18.75" x14ac:dyDescent="0.25">
      <c r="A16" s="89">
        <v>10</v>
      </c>
      <c r="B16" s="105" t="s">
        <v>140</v>
      </c>
      <c r="C16" s="90">
        <v>105</v>
      </c>
      <c r="D16" s="129">
        <f>SUMIFS(programmer!$H$3:$H$88886,programmer!$D$3:$D$88886,B16,programmer!$I$3:$I$88886,$G$1,programmer!$B$3:$B$88886,$D$4,programmer!$F$3:$F$88886,"&lt;="&amp;$D$5)*24</f>
        <v>0</v>
      </c>
      <c r="E16" s="128">
        <f>Formation!$D16/Formation!$C16</f>
        <v>0</v>
      </c>
      <c r="F16" s="127" t="str">
        <f t="shared" si="0"/>
        <v>En cours</v>
      </c>
      <c r="L16" s="102"/>
      <c r="M16" s="102"/>
      <c r="N16" s="102"/>
      <c r="O16" s="102"/>
      <c r="P16" s="102"/>
      <c r="Q16" s="102"/>
      <c r="R16" s="102"/>
      <c r="S16" s="102"/>
      <c r="T16" s="102"/>
    </row>
    <row r="17" spans="1:20" ht="18.75" x14ac:dyDescent="0.25">
      <c r="A17" s="89">
        <v>11</v>
      </c>
      <c r="B17" s="104" t="s">
        <v>141</v>
      </c>
      <c r="C17" s="89">
        <v>15</v>
      </c>
      <c r="D17" s="129">
        <f>SUMIFS(programmer!$H$3:$H$88886,programmer!$D$3:$D$88886,B17,programmer!$I$3:$I$88886,$G$1,programmer!$B$3:$B$88886,$D$4,programmer!$F$3:$F$88886,"&lt;="&amp;$D$5)*24</f>
        <v>0</v>
      </c>
      <c r="E17" s="128">
        <f>Formation!$D17/Formation!$C17</f>
        <v>0</v>
      </c>
      <c r="F17" s="127" t="str">
        <f t="shared" si="0"/>
        <v>En cours</v>
      </c>
      <c r="L17" s="102"/>
      <c r="M17" s="102"/>
      <c r="N17" s="102"/>
      <c r="O17" s="102"/>
      <c r="P17" s="102"/>
      <c r="Q17" s="102"/>
      <c r="R17" s="102"/>
      <c r="S17" s="102"/>
      <c r="T17" s="102"/>
    </row>
    <row r="18" spans="1:20" ht="18.75" x14ac:dyDescent="0.25">
      <c r="A18" s="89">
        <v>12</v>
      </c>
      <c r="B18" s="104" t="s">
        <v>142</v>
      </c>
      <c r="C18" s="89">
        <v>160</v>
      </c>
      <c r="D18" s="129">
        <f>SUMIFS(programmer!$H$3:$H$88886,programmer!$D$3:$D$88886,B18,programmer!$I$3:$I$88886,$G$1,programmer!$B$3:$B$88886,$D$4,programmer!$F$3:$F$88886,"&lt;="&amp;$D$5)*24</f>
        <v>0</v>
      </c>
      <c r="E18" s="128">
        <f>Formation!$D18/Formation!$C18</f>
        <v>0</v>
      </c>
      <c r="F18" s="127" t="str">
        <f t="shared" si="0"/>
        <v>En cours</v>
      </c>
      <c r="L18" s="102"/>
      <c r="M18" s="102"/>
      <c r="N18" s="102"/>
      <c r="O18" s="102"/>
      <c r="P18" s="102"/>
      <c r="Q18" s="102"/>
      <c r="R18" s="102"/>
      <c r="S18" s="102"/>
      <c r="T18" s="102"/>
    </row>
    <row r="19" spans="1:20" ht="18.75" x14ac:dyDescent="0.25">
      <c r="A19" s="89">
        <v>13</v>
      </c>
      <c r="B19" s="104" t="s">
        <v>143</v>
      </c>
      <c r="C19" s="89">
        <v>75</v>
      </c>
      <c r="D19" s="129">
        <f>SUMIFS(programmer!$H$3:$H$88886,programmer!$D$3:$D$88886,B19,programmer!$I$3:$I$88886,$G$1,programmer!$B$3:$B$88886,$D$4,programmer!$F$3:$F$88886,"&lt;="&amp;$D$5)*24</f>
        <v>0</v>
      </c>
      <c r="E19" s="128">
        <f>Formation!$D19/Formation!$C19</f>
        <v>0</v>
      </c>
      <c r="F19" s="127" t="str">
        <f t="shared" si="0"/>
        <v>En cours</v>
      </c>
      <c r="L19" s="102"/>
      <c r="M19" s="102"/>
      <c r="N19" s="102"/>
      <c r="O19" s="102"/>
      <c r="P19" s="102"/>
      <c r="Q19" s="102"/>
      <c r="R19" s="102"/>
      <c r="S19" s="102"/>
      <c r="T19" s="102"/>
    </row>
    <row r="20" spans="1:20" ht="18.75" x14ac:dyDescent="0.25">
      <c r="A20" s="89">
        <v>14</v>
      </c>
      <c r="B20" s="104" t="s">
        <v>144</v>
      </c>
      <c r="C20" s="89">
        <v>75</v>
      </c>
      <c r="D20" s="129">
        <f>SUMIFS(programmer!$H$3:$H$88886,programmer!$D$3:$D$88886,B20,programmer!$I$3:$I$88886,$G$1,programmer!$B$3:$B$88886,$D$4,programmer!$F$3:$F$88886,"&lt;="&amp;$D$5)*24</f>
        <v>0</v>
      </c>
      <c r="E20" s="128">
        <f>Formation!$D20/Formation!$C20</f>
        <v>0</v>
      </c>
      <c r="F20" s="127" t="str">
        <f t="shared" si="0"/>
        <v>En cours</v>
      </c>
      <c r="L20" s="102"/>
      <c r="M20" s="102"/>
      <c r="N20" s="102"/>
      <c r="O20" s="102"/>
      <c r="P20" s="102"/>
      <c r="Q20" s="102"/>
      <c r="R20" s="102"/>
      <c r="S20" s="102"/>
      <c r="T20" s="102"/>
    </row>
    <row r="21" spans="1:20" ht="18.75" x14ac:dyDescent="0.25">
      <c r="A21" s="89">
        <v>15</v>
      </c>
      <c r="B21" s="104" t="s">
        <v>145</v>
      </c>
      <c r="C21" s="89">
        <v>30</v>
      </c>
      <c r="D21" s="129">
        <f>SUMIFS(programmer!$H$3:$H$88886,programmer!$D$3:$D$88886,B21,programmer!$I$3:$I$88886,$G$1,programmer!$B$3:$B$88886,$D$4,programmer!$F$3:$F$88886,"&lt;="&amp;$D$5)*24</f>
        <v>0</v>
      </c>
      <c r="E21" s="128">
        <f>Formation!$D21/Formation!$C21</f>
        <v>0</v>
      </c>
      <c r="F21" s="127" t="str">
        <f t="shared" si="0"/>
        <v>En cours</v>
      </c>
      <c r="L21" s="102"/>
      <c r="M21" s="102"/>
      <c r="N21" s="102"/>
      <c r="O21" s="102"/>
      <c r="P21" s="102"/>
      <c r="Q21" s="102"/>
      <c r="R21" s="102"/>
      <c r="S21" s="102"/>
      <c r="T21" s="102"/>
    </row>
    <row r="22" spans="1:20" ht="18.75" x14ac:dyDescent="0.25">
      <c r="A22" s="89">
        <v>16</v>
      </c>
      <c r="B22" s="104" t="s">
        <v>146</v>
      </c>
      <c r="C22" s="89">
        <v>120</v>
      </c>
      <c r="D22" s="129">
        <f>SUMIFS(programmer!$H$3:$H$88886,programmer!$D$3:$D$88886,B22,programmer!$I$3:$I$88886,$G$1,programmer!$B$3:$B$88886,$D$4,programmer!$F$3:$F$88886,"&lt;="&amp;$D$5)*24</f>
        <v>0</v>
      </c>
      <c r="E22" s="128">
        <f>Formation!$D22/Formation!$C22</f>
        <v>0</v>
      </c>
      <c r="F22" s="127" t="str">
        <f t="shared" si="0"/>
        <v>En cours</v>
      </c>
      <c r="L22" s="102"/>
      <c r="M22" s="102"/>
      <c r="N22" s="102"/>
      <c r="O22" s="102"/>
      <c r="P22" s="102"/>
      <c r="Q22" s="102"/>
      <c r="R22" s="102"/>
      <c r="S22" s="102"/>
      <c r="T22" s="102"/>
    </row>
    <row r="23" spans="1:20" ht="18.75" x14ac:dyDescent="0.25">
      <c r="A23" s="89">
        <v>17</v>
      </c>
      <c r="B23" s="104" t="s">
        <v>147</v>
      </c>
      <c r="C23" s="89">
        <v>15</v>
      </c>
      <c r="D23" s="129">
        <f>SUMIFS(programmer!$H$3:$H$88886,programmer!$D$3:$D$88886,B23,programmer!$I$3:$I$88886,$G$1,programmer!$B$3:$B$88886,$D$4,programmer!$F$3:$F$88886,"&lt;="&amp;$D$5)*24</f>
        <v>0</v>
      </c>
      <c r="E23" s="128">
        <f>Formation!$D23/Formation!$C23</f>
        <v>0</v>
      </c>
      <c r="F23" s="127" t="str">
        <f t="shared" si="0"/>
        <v>En cours</v>
      </c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20" ht="18.75" x14ac:dyDescent="0.25">
      <c r="A24" s="89">
        <v>18</v>
      </c>
      <c r="B24" s="104" t="s">
        <v>148</v>
      </c>
      <c r="C24" s="89">
        <v>200</v>
      </c>
      <c r="D24" s="129">
        <f>SUMIFS(programmer!$H$3:$H$88886,programmer!$D$3:$D$88886,B24,programmer!$I$3:$I$88886,$G$1,programmer!$B$3:$B$88886,$D$4,programmer!$F$3:$F$88886,"&lt;="&amp;$D$5)*24</f>
        <v>0</v>
      </c>
      <c r="E24" s="128">
        <f>Formation!$D24/Formation!$C24</f>
        <v>0</v>
      </c>
      <c r="F24" s="127" t="str">
        <f t="shared" si="0"/>
        <v>En cours</v>
      </c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20" ht="18.75" x14ac:dyDescent="0.25">
      <c r="A25" s="89">
        <v>19</v>
      </c>
      <c r="B25" s="104" t="s">
        <v>57</v>
      </c>
      <c r="C25" s="89">
        <v>30</v>
      </c>
      <c r="D25" s="129">
        <f>SUMIFS(programmer!$H$3:$H$88886,programmer!$D$3:$D$88886,B25,programmer!$I$3:$I$88886,$G$1,programmer!$B$3:$B$88886,$D$4,programmer!$F$3:$F$88886,"&lt;="&amp;$D$5)*24</f>
        <v>0</v>
      </c>
      <c r="E25" s="128">
        <f>Formation!$D25/Formation!$C25</f>
        <v>0</v>
      </c>
      <c r="F25" s="127" t="str">
        <f t="shared" si="0"/>
        <v>En cours</v>
      </c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20" ht="18.75" x14ac:dyDescent="0.25">
      <c r="A26" s="89">
        <v>20</v>
      </c>
      <c r="B26" s="104" t="s">
        <v>108</v>
      </c>
      <c r="C26" s="89">
        <v>30</v>
      </c>
      <c r="D26" s="129">
        <f>SUMIFS(programmer!$H$3:$H$88886,programmer!$D$3:$D$88886,B26,programmer!$I$3:$I$88886,$G$1,programmer!$B$3:$B$88886,$D$4,programmer!$F$3:$F$88886,"&lt;="&amp;$D$5)*24</f>
        <v>0</v>
      </c>
      <c r="E26" s="128">
        <f>Formation!$D26/Formation!$C26</f>
        <v>0</v>
      </c>
      <c r="F26" s="127" t="str">
        <f t="shared" si="0"/>
        <v>En cours</v>
      </c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20" ht="18.75" x14ac:dyDescent="0.25">
      <c r="A27" s="89">
        <v>21</v>
      </c>
      <c r="B27" s="104" t="s">
        <v>58</v>
      </c>
      <c r="C27" s="89">
        <v>20</v>
      </c>
      <c r="D27" s="129">
        <f>SUMIFS(programmer!$H$3:$H$88886,programmer!$D$3:$D$88886,B27,programmer!$I$3:$I$88886,$G$1,programmer!$B$3:$B$88886,$D$4,programmer!$F$3:$F$88886,"&lt;="&amp;$D$5)*24</f>
        <v>0</v>
      </c>
      <c r="E27" s="128">
        <f>Formation!$D27/Formation!$C27</f>
        <v>0</v>
      </c>
      <c r="F27" s="127" t="str">
        <f t="shared" si="0"/>
        <v>En cours</v>
      </c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20" ht="18.75" x14ac:dyDescent="0.25">
      <c r="A28" s="89">
        <v>22</v>
      </c>
      <c r="B28" s="104" t="s">
        <v>109</v>
      </c>
      <c r="C28" s="89">
        <v>10</v>
      </c>
      <c r="D28" s="129">
        <f>SUMIFS(programmer!$H$3:$H$88886,programmer!$D$3:$D$88886,B28,programmer!$I$3:$I$88886,$G$1,programmer!$B$3:$B$88886,$D$4,programmer!$F$3:$F$88886,"&lt;="&amp;$D$5)*24</f>
        <v>0</v>
      </c>
      <c r="E28" s="128">
        <f>Formation!$D28/Formation!$C28</f>
        <v>0</v>
      </c>
      <c r="F28" s="127" t="str">
        <f t="shared" si="0"/>
        <v>En cours</v>
      </c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20" ht="18.75" x14ac:dyDescent="0.25">
      <c r="A29" s="89">
        <v>23</v>
      </c>
      <c r="B29" s="104" t="s">
        <v>128</v>
      </c>
      <c r="C29" s="89">
        <v>10</v>
      </c>
      <c r="D29" s="129">
        <f>SUMIFS(programmer!$H$3:$H$88886,programmer!$D$3:$D$88886,B29,programmer!$I$3:$I$88886,$G$1,programmer!$B$3:$B$88886,$D$4,programmer!$F$3:$F$88886,"&lt;="&amp;$D$5)*24</f>
        <v>0</v>
      </c>
      <c r="E29" s="128">
        <f>Formation!$D29/Formation!$C29</f>
        <v>0</v>
      </c>
      <c r="F29" s="127" t="str">
        <f t="shared" si="0"/>
        <v>En cours</v>
      </c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20" ht="18.75" x14ac:dyDescent="0.25">
      <c r="A30" s="89">
        <v>24</v>
      </c>
      <c r="B30" s="104" t="s">
        <v>129</v>
      </c>
      <c r="C30" s="89">
        <v>10</v>
      </c>
      <c r="D30" s="129">
        <f>SUMIFS(programmer!$H$3:$H$88886,programmer!$D$3:$D$88886,B30,programmer!$I$3:$I$88886,$G$1,programmer!$B$3:$B$88886,$D$4,programmer!$F$3:$F$88886,"&lt;="&amp;$D$5)*24</f>
        <v>0</v>
      </c>
      <c r="E30" s="128">
        <f>Formation!$D30/Formation!$C30</f>
        <v>0</v>
      </c>
      <c r="F30" s="127" t="str">
        <f t="shared" si="0"/>
        <v>En cours</v>
      </c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20" ht="18.75" x14ac:dyDescent="0.25">
      <c r="A31" s="89">
        <v>25</v>
      </c>
      <c r="B31" s="104" t="s">
        <v>6</v>
      </c>
      <c r="C31" s="89">
        <v>40</v>
      </c>
      <c r="D31" s="129">
        <f>SUMIFS(programmer!$H$3:$H$88886,programmer!$D$3:$D$88886,B31,programmer!$I$3:$I$88886,$G$1,programmer!$B$3:$B$88886,$D$4,programmer!$F$3:$F$88886,"&lt;="&amp;$D$5)*24</f>
        <v>0</v>
      </c>
      <c r="E31" s="128">
        <f>Formation!$D31/Formation!$C31</f>
        <v>0</v>
      </c>
      <c r="F31" s="127" t="str">
        <f t="shared" si="0"/>
        <v>En cours</v>
      </c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20" ht="18.75" x14ac:dyDescent="0.25">
      <c r="A32" s="89">
        <v>26</v>
      </c>
      <c r="B32" s="104" t="s">
        <v>7</v>
      </c>
      <c r="C32" s="89">
        <v>14</v>
      </c>
      <c r="D32" s="129">
        <f>SUMIFS(programmer!$H$3:$H$88886,programmer!$D$3:$D$88886,B32,programmer!$I$3:$I$88886,$G$1,programmer!$B$3:$B$88886,$D$4,programmer!$F$3:$F$88886,"&lt;="&amp;$D$5)*24</f>
        <v>0</v>
      </c>
      <c r="E32" s="128">
        <f>Formation!$D32/Formation!$C32</f>
        <v>0</v>
      </c>
      <c r="F32" s="127" t="str">
        <f t="shared" si="0"/>
        <v>En cours</v>
      </c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:20" ht="18.75" x14ac:dyDescent="0.25">
      <c r="A33" s="91">
        <v>27</v>
      </c>
      <c r="B33" s="106" t="s">
        <v>110</v>
      </c>
      <c r="C33" s="91">
        <v>20</v>
      </c>
      <c r="D33" s="129">
        <f>SUMIFS(programmer!$H$3:$H$88886,programmer!$D$3:$D$88886,B33,programmer!$I$3:$I$88886,$G$1,programmer!$B$3:$B$88886,$D$4,programmer!$F$3:$F$88886,"&lt;="&amp;$D$5)*24</f>
        <v>0</v>
      </c>
      <c r="E33" s="128">
        <f>Formation!$D33/Formation!$C33</f>
        <v>0</v>
      </c>
      <c r="F33" s="127" t="str">
        <f t="shared" si="0"/>
        <v>En cours</v>
      </c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:20" ht="18.75" x14ac:dyDescent="0.25">
      <c r="D34" s="129">
        <f>SUMIFS(programmer!$H$3:$H$88886,programmer!$D$3:$D$88886,B34,programmer!$I$3:$I$88886,$G$1,programmer!$B$3:$B$88886,$D$4,programmer!$F$3:$F$88886,"&lt;="&amp;$D$5)*24</f>
        <v>0</v>
      </c>
      <c r="E34" s="128" t="e">
        <f>Formation!$D34/Formation!$C34</f>
        <v>#DIV/0!</v>
      </c>
      <c r="F34" s="127" t="e">
        <f t="shared" si="0"/>
        <v>#DIV/0!</v>
      </c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:20" ht="18.75" x14ac:dyDescent="0.25">
      <c r="D35" s="129">
        <f>SUMIFS(programmer!$H$3:$H$88886,programmer!$D$3:$D$88886,B35,programmer!$I$3:$I$88886,$G$1,programmer!$B$3:$B$88886,$D$4,programmer!$F$3:$F$88886,"&lt;="&amp;$D$5)*24</f>
        <v>0</v>
      </c>
      <c r="E35" s="128" t="e">
        <f>Formation!$D35/Formation!$C35</f>
        <v>#DIV/0!</v>
      </c>
      <c r="F35" s="127" t="e">
        <f t="shared" si="0"/>
        <v>#DIV/0!</v>
      </c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:20" ht="18.75" x14ac:dyDescent="0.25">
      <c r="A36" s="17"/>
      <c r="B36" s="17"/>
      <c r="C36" s="33"/>
      <c r="D36" s="129">
        <f>SUMIFS(programmer!$H$3:$H$88886,programmer!$D$3:$D$88886,B36,programmer!$I$3:$I$88886,$G$1,programmer!$B$3:$B$88886,$D$4,programmer!$F$3:$F$88886,"&lt;="&amp;$D$5)*24</f>
        <v>0</v>
      </c>
      <c r="E36" s="128" t="e">
        <f>Formation!$D36/Formation!$C36</f>
        <v>#DIV/0!</v>
      </c>
      <c r="F36" s="127" t="e">
        <f t="shared" si="0"/>
        <v>#DIV/0!</v>
      </c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20" ht="18.75" x14ac:dyDescent="0.25">
      <c r="A37" s="17"/>
      <c r="B37" s="17"/>
      <c r="C37" s="33"/>
      <c r="D37" s="129">
        <f>SUMIFS(programmer!$H$3:$H$88886,programmer!$D$3:$D$88886,B37,programmer!$I$3:$I$88886,$G$1,programmer!$B$3:$B$88886,$D$4,programmer!$F$3:$F$88886,"&lt;="&amp;$D$5)*24</f>
        <v>0</v>
      </c>
      <c r="E37" s="128" t="e">
        <f>Formation!$D37/Formation!$C37</f>
        <v>#DIV/0!</v>
      </c>
      <c r="F37" s="127" t="e">
        <f t="shared" si="0"/>
        <v>#DIV/0!</v>
      </c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20" ht="18.75" x14ac:dyDescent="0.25">
      <c r="A38" s="17"/>
      <c r="B38" s="17"/>
      <c r="C38" s="33"/>
      <c r="D38" s="129">
        <f>SUMIFS(programmer!$H$3:$H$88886,programmer!$D$3:$D$88886,B38,programmer!$I$3:$I$88886,$G$1,programmer!$B$3:$B$88886,$D$4,programmer!$F$3:$F$88886,"&lt;="&amp;$D$5)*24</f>
        <v>0</v>
      </c>
      <c r="E38" s="128" t="e">
        <f>Formation!$D38/Formation!$C38</f>
        <v>#DIV/0!</v>
      </c>
      <c r="F38" s="127" t="e">
        <f t="shared" si="0"/>
        <v>#DIV/0!</v>
      </c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20" ht="18.75" x14ac:dyDescent="0.25">
      <c r="A39" s="154"/>
      <c r="B39" s="154"/>
      <c r="C39" s="156"/>
      <c r="D39" s="129">
        <f>SUMIFS(programmer!$H$3:$H$88886,programmer!$D$3:$D$88886,B39,programmer!$I$3:$I$88886,$G$1,programmer!$B$3:$B$88886,$D$4,programmer!$F$3:$F$88886,"&lt;="&amp;$D$5)*24</f>
        <v>0</v>
      </c>
      <c r="E39" s="128" t="e">
        <f>Formation!$D39/Formation!$C39</f>
        <v>#DIV/0!</v>
      </c>
      <c r="F39" s="127" t="e">
        <f t="shared" si="0"/>
        <v>#DIV/0!</v>
      </c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mergeCells count="3">
    <mergeCell ref="B2:E2"/>
    <mergeCell ref="D5:E5"/>
    <mergeCell ref="J4:L4"/>
  </mergeCells>
  <conditionalFormatting sqref="F7:F39">
    <cfRule type="cellIs" dxfId="363" priority="1" operator="equal">
      <formula>"achevé"</formula>
    </cfRule>
  </conditionalFormatting>
  <conditionalFormatting sqref="E7:E39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{800575F2-BEE8-44AF-8A35-3CA7C246D146}</x14:id>
        </ext>
      </extLst>
    </cfRule>
  </conditionalFormatting>
  <dataValidations count="2">
    <dataValidation type="list" allowBlank="1" showInputMessage="1" showErrorMessage="1" sqref="D4">
      <formula1>Groupe</formula1>
    </dataValidation>
    <dataValidation type="list" allowBlank="1" showInputMessage="1" showErrorMessage="1" sqref="J4:L4">
      <formula1>Abr</formula1>
    </dataValidation>
  </dataValidations>
  <pageMargins left="0.25" right="0.25" top="0.75" bottom="0.75" header="0.3" footer="0.3"/>
  <pageSetup paperSize="9" orientation="landscape" horizontalDpi="4294967294" verticalDpi="3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0575F2-BEE8-44AF-8A35-3CA7C246D1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E7:E39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7030A0"/>
    <pageSetUpPr fitToPage="1"/>
  </sheetPr>
  <dimension ref="B1:N100"/>
  <sheetViews>
    <sheetView tabSelected="1" zoomScale="55" zoomScaleNormal="55" workbookViewId="0">
      <selection activeCell="E26" sqref="E26"/>
    </sheetView>
  </sheetViews>
  <sheetFormatPr defaultColWidth="11.42578125" defaultRowHeight="15" x14ac:dyDescent="0.25"/>
  <cols>
    <col min="1" max="1" width="10.42578125" customWidth="1"/>
    <col min="2" max="2" width="23.85546875" customWidth="1"/>
    <col min="3" max="3" width="6" bestFit="1" customWidth="1"/>
    <col min="4" max="4" width="31.42578125" bestFit="1" customWidth="1"/>
    <col min="5" max="9" width="31" bestFit="1" customWidth="1"/>
    <col min="10" max="10" width="4.85546875" customWidth="1"/>
    <col min="11" max="11" width="7" customWidth="1"/>
    <col min="12" max="12" width="18.5703125" bestFit="1" customWidth="1"/>
    <col min="13" max="13" width="44.42578125" bestFit="1" customWidth="1"/>
  </cols>
  <sheetData>
    <row r="1" spans="2:14" ht="24.95" customHeight="1" x14ac:dyDescent="0.25">
      <c r="F1" s="196" t="s">
        <v>187</v>
      </c>
      <c r="G1" s="196"/>
      <c r="H1" s="196"/>
      <c r="L1" s="196"/>
      <c r="M1" s="196"/>
      <c r="N1" s="196"/>
    </row>
    <row r="2" spans="2:14" ht="24.95" customHeight="1" x14ac:dyDescent="0.25"/>
    <row r="3" spans="2:14" ht="24.95" customHeight="1" x14ac:dyDescent="0.25">
      <c r="C3" s="200" t="s">
        <v>94</v>
      </c>
      <c r="D3" s="200"/>
      <c r="E3" s="200"/>
      <c r="F3" s="200"/>
      <c r="G3" s="200"/>
      <c r="H3" s="200"/>
      <c r="I3" s="200"/>
    </row>
    <row r="4" spans="2:14" ht="15.75" thickBot="1" x14ac:dyDescent="0.3"/>
    <row r="5" spans="2:14" ht="64.5" thickBot="1" x14ac:dyDescent="1.1000000000000001">
      <c r="B5" t="s">
        <v>96</v>
      </c>
      <c r="D5" s="197" t="s">
        <v>37</v>
      </c>
      <c r="E5" s="198"/>
      <c r="F5" s="198"/>
      <c r="G5" s="198"/>
      <c r="H5" s="198"/>
      <c r="I5" s="199"/>
    </row>
    <row r="6" spans="2:14" ht="39" customHeight="1" x14ac:dyDescent="0.25">
      <c r="E6" s="53" t="s">
        <v>36</v>
      </c>
      <c r="F6" s="196" t="str">
        <f>INDEX(Admin!F4:H99,MATCH(EmploiGroupe!F1,Admin!H4:H99,0),1)</f>
        <v>Marin Pecheur 2020</v>
      </c>
      <c r="G6" s="196"/>
      <c r="H6" s="196"/>
      <c r="I6" s="94"/>
      <c r="K6" t="s">
        <v>51</v>
      </c>
      <c r="L6" s="157">
        <f ca="1">IFERROR(MATCH(D9,INDIRECT(F1&amp;"!I1:MM1"),0),1000)</f>
        <v>1</v>
      </c>
    </row>
    <row r="7" spans="2:14" ht="18" customHeight="1" thickBot="1" x14ac:dyDescent="0.3"/>
    <row r="8" spans="2:14" ht="24.95" customHeight="1" x14ac:dyDescent="0.25">
      <c r="C8" s="6"/>
      <c r="D8" s="139">
        <f>D9</f>
        <v>44340</v>
      </c>
      <c r="E8" s="139">
        <f t="shared" ref="E8:I9" si="0">D8+1</f>
        <v>44341</v>
      </c>
      <c r="F8" s="139">
        <f t="shared" si="0"/>
        <v>44342</v>
      </c>
      <c r="G8" s="139">
        <f t="shared" si="0"/>
        <v>44343</v>
      </c>
      <c r="H8" s="139">
        <f t="shared" si="0"/>
        <v>44344</v>
      </c>
      <c r="I8" s="140">
        <f t="shared" si="0"/>
        <v>44345</v>
      </c>
      <c r="K8" s="176" t="str">
        <f ca="1">N8</f>
        <v>s1</v>
      </c>
      <c r="L8" s="177" t="s">
        <v>3</v>
      </c>
      <c r="M8" s="177" t="s">
        <v>1</v>
      </c>
      <c r="N8" s="53" t="str">
        <f ca="1">CONCATENATE("s",L6)</f>
        <v>s1</v>
      </c>
    </row>
    <row r="9" spans="2:14" ht="24.95" customHeight="1" thickBot="1" x14ac:dyDescent="0.45">
      <c r="C9" s="77"/>
      <c r="D9" s="137">
        <v>44340</v>
      </c>
      <c r="E9" s="137">
        <f t="shared" si="0"/>
        <v>44341</v>
      </c>
      <c r="F9" s="137">
        <f t="shared" si="0"/>
        <v>44342</v>
      </c>
      <c r="G9" s="137">
        <f t="shared" si="0"/>
        <v>44343</v>
      </c>
      <c r="H9" s="137">
        <f t="shared" si="0"/>
        <v>44344</v>
      </c>
      <c r="I9" s="138">
        <f t="shared" si="0"/>
        <v>44345</v>
      </c>
      <c r="K9" s="209">
        <v>4</v>
      </c>
      <c r="L9" s="210" t="s">
        <v>212</v>
      </c>
      <c r="M9" s="211" t="s">
        <v>111</v>
      </c>
      <c r="N9" t="s">
        <v>198</v>
      </c>
    </row>
    <row r="10" spans="2:14" ht="24.95" customHeight="1" thickTop="1" x14ac:dyDescent="0.4">
      <c r="C10" s="78">
        <v>0.33333333333333331</v>
      </c>
      <c r="D10" s="75"/>
      <c r="E10" s="18"/>
      <c r="F10" s="18"/>
      <c r="G10" s="18"/>
      <c r="H10" s="18"/>
      <c r="I10" s="49"/>
      <c r="K10" s="212">
        <v>4</v>
      </c>
      <c r="L10" s="213" t="s">
        <v>50</v>
      </c>
      <c r="M10" s="211" t="s">
        <v>111</v>
      </c>
    </row>
    <row r="11" spans="2:14" ht="24.95" customHeight="1" thickBot="1" x14ac:dyDescent="0.45">
      <c r="C11" s="79">
        <v>0.35416666666666669</v>
      </c>
      <c r="D11" s="76"/>
      <c r="E11" s="15"/>
      <c r="F11" s="15"/>
      <c r="G11" s="15"/>
      <c r="H11" s="15"/>
      <c r="I11" s="50"/>
      <c r="K11" s="214"/>
      <c r="L11" s="214"/>
      <c r="M11" s="213"/>
    </row>
    <row r="12" spans="2:14" ht="24.95" customHeight="1" x14ac:dyDescent="0.4">
      <c r="C12" s="82">
        <v>0.375</v>
      </c>
      <c r="D12" s="80"/>
      <c r="E12" s="14"/>
      <c r="F12" s="14"/>
      <c r="G12" s="14"/>
      <c r="H12" s="14"/>
      <c r="I12" s="51"/>
      <c r="K12" s="215"/>
      <c r="L12" s="216"/>
      <c r="M12" s="217"/>
    </row>
    <row r="13" spans="2:14" ht="24.95" customHeight="1" thickBot="1" x14ac:dyDescent="0.45">
      <c r="C13" s="79">
        <v>0.39583333333333298</v>
      </c>
      <c r="D13" s="81"/>
      <c r="E13" s="19"/>
      <c r="F13" s="19"/>
      <c r="G13" s="19"/>
      <c r="H13" s="19"/>
      <c r="I13" s="52"/>
      <c r="K13" s="215"/>
      <c r="L13" s="216"/>
      <c r="M13" s="217"/>
    </row>
    <row r="14" spans="2:14" ht="24.95" customHeight="1" thickTop="1" x14ac:dyDescent="0.4">
      <c r="C14" s="78">
        <v>0.41666666666666702</v>
      </c>
      <c r="D14" s="75"/>
      <c r="E14" s="18"/>
      <c r="F14" s="18"/>
      <c r="G14" s="18"/>
      <c r="H14" s="18"/>
      <c r="I14" s="49"/>
      <c r="K14" s="215"/>
      <c r="L14" s="216"/>
      <c r="M14" s="217"/>
    </row>
    <row r="15" spans="2:14" ht="24.95" customHeight="1" thickBot="1" x14ac:dyDescent="0.45">
      <c r="C15" s="79">
        <v>0.4375</v>
      </c>
      <c r="D15" s="76"/>
      <c r="E15" s="15"/>
      <c r="F15" s="15"/>
      <c r="G15" s="15"/>
      <c r="H15" s="15"/>
      <c r="I15" s="50"/>
      <c r="K15" s="215"/>
      <c r="L15" s="216"/>
      <c r="M15" s="217"/>
    </row>
    <row r="16" spans="2:14" ht="24.95" customHeight="1" x14ac:dyDescent="0.4">
      <c r="C16" s="82">
        <v>0.45833333333333298</v>
      </c>
      <c r="D16" s="80"/>
      <c r="E16" s="14"/>
      <c r="F16" s="14"/>
      <c r="G16" s="14"/>
      <c r="H16" s="14"/>
      <c r="I16" s="51"/>
      <c r="K16" s="215"/>
      <c r="L16" s="216"/>
      <c r="M16" s="217"/>
    </row>
    <row r="17" spans="3:13" ht="24.95" customHeight="1" thickBot="1" x14ac:dyDescent="0.45">
      <c r="C17" s="79">
        <v>0.47916666666666702</v>
      </c>
      <c r="D17" s="81"/>
      <c r="E17" s="19"/>
      <c r="F17" s="19"/>
      <c r="G17" s="19"/>
      <c r="H17" s="19"/>
      <c r="I17" s="52"/>
      <c r="K17" s="215"/>
      <c r="L17" s="216"/>
      <c r="M17" s="217"/>
    </row>
    <row r="18" spans="3:13" ht="24.95" customHeight="1" thickTop="1" x14ac:dyDescent="0.4">
      <c r="C18" s="78">
        <v>0.5</v>
      </c>
      <c r="D18" s="83"/>
      <c r="E18" s="54"/>
      <c r="F18" s="54"/>
      <c r="G18" s="54"/>
      <c r="H18" s="54"/>
      <c r="I18" s="55"/>
      <c r="K18" s="215"/>
      <c r="L18" s="216"/>
      <c r="M18" s="217"/>
    </row>
    <row r="19" spans="3:13" ht="24.95" customHeight="1" thickBot="1" x14ac:dyDescent="0.45">
      <c r="C19" s="79">
        <v>0.52083333333333304</v>
      </c>
      <c r="D19" s="84"/>
      <c r="E19" s="56"/>
      <c r="F19" s="56"/>
      <c r="G19" s="56"/>
      <c r="H19" s="56"/>
      <c r="I19" s="57"/>
      <c r="K19" s="215"/>
      <c r="L19" s="216"/>
      <c r="M19" s="217"/>
    </row>
    <row r="20" spans="3:13" ht="24.95" customHeight="1" thickTop="1" x14ac:dyDescent="0.4">
      <c r="C20" s="82">
        <v>0.54166666666666696</v>
      </c>
      <c r="D20" s="75"/>
      <c r="E20" s="18"/>
      <c r="F20" s="18"/>
      <c r="G20" s="18"/>
      <c r="H20" s="59"/>
      <c r="I20" s="64"/>
      <c r="K20" s="215"/>
      <c r="L20" s="216"/>
      <c r="M20" s="217"/>
    </row>
    <row r="21" spans="3:13" ht="24.95" customHeight="1" thickBot="1" x14ac:dyDescent="0.45">
      <c r="C21" s="79">
        <v>0.5625</v>
      </c>
      <c r="D21" s="76"/>
      <c r="E21" s="15"/>
      <c r="F21" s="15"/>
      <c r="G21" s="15"/>
      <c r="H21" s="60"/>
      <c r="I21" s="65"/>
      <c r="K21" s="215"/>
      <c r="L21" s="216"/>
      <c r="M21" s="217"/>
    </row>
    <row r="22" spans="3:13" ht="24.95" customHeight="1" x14ac:dyDescent="0.4">
      <c r="C22" s="78">
        <v>0.58333333333333304</v>
      </c>
      <c r="D22" s="85"/>
      <c r="E22" s="20"/>
      <c r="F22" s="20"/>
      <c r="G22" s="20"/>
      <c r="H22" s="61" t="s">
        <v>96</v>
      </c>
      <c r="I22" s="66"/>
      <c r="K22" s="215"/>
      <c r="L22" s="216"/>
      <c r="M22" s="217"/>
    </row>
    <row r="23" spans="3:13" ht="24.95" customHeight="1" thickBot="1" x14ac:dyDescent="0.45">
      <c r="C23" s="79">
        <v>0.60416666666666696</v>
      </c>
      <c r="D23" s="81"/>
      <c r="E23" s="19"/>
      <c r="F23" s="19"/>
      <c r="G23" s="19"/>
      <c r="H23" s="62"/>
      <c r="I23" s="67"/>
      <c r="K23" s="215"/>
      <c r="L23" s="216"/>
      <c r="M23" s="217"/>
    </row>
    <row r="24" spans="3:13" ht="24.95" customHeight="1" thickTop="1" x14ac:dyDescent="0.4">
      <c r="C24" s="82">
        <v>0.625</v>
      </c>
      <c r="D24" s="75"/>
      <c r="E24" s="18"/>
      <c r="F24" s="18"/>
      <c r="G24" s="18"/>
      <c r="H24" s="59"/>
      <c r="I24" s="64"/>
      <c r="K24" s="215"/>
      <c r="L24" s="216"/>
      <c r="M24" s="217"/>
    </row>
    <row r="25" spans="3:13" ht="24.95" customHeight="1" thickBot="1" x14ac:dyDescent="0.45">
      <c r="C25" s="79">
        <v>0.64583333333333404</v>
      </c>
      <c r="D25" s="76"/>
      <c r="E25" s="15"/>
      <c r="F25" s="15"/>
      <c r="G25" s="15"/>
      <c r="H25" s="60"/>
      <c r="I25" s="65"/>
      <c r="K25" s="215"/>
      <c r="L25" s="216"/>
      <c r="M25" s="217"/>
    </row>
    <row r="26" spans="3:13" ht="24.95" customHeight="1" x14ac:dyDescent="0.4">
      <c r="C26" s="78">
        <v>0.66666666666666696</v>
      </c>
      <c r="D26" s="85"/>
      <c r="E26" s="20"/>
      <c r="F26" s="20"/>
      <c r="G26" s="20"/>
      <c r="H26" s="61"/>
      <c r="I26" s="66"/>
      <c r="K26" s="215"/>
      <c r="L26" s="218"/>
      <c r="M26" s="217"/>
    </row>
    <row r="27" spans="3:13" ht="24.95" customHeight="1" thickBot="1" x14ac:dyDescent="0.45">
      <c r="C27" s="79">
        <v>0.6875</v>
      </c>
      <c r="D27" s="81"/>
      <c r="E27" s="19"/>
      <c r="F27" s="19"/>
      <c r="G27" s="19"/>
      <c r="H27" s="62"/>
      <c r="I27" s="67"/>
      <c r="K27" s="215"/>
      <c r="L27" s="216"/>
      <c r="M27" s="217"/>
    </row>
    <row r="28" spans="3:13" ht="24.95" customHeight="1" x14ac:dyDescent="0.4">
      <c r="C28" s="73">
        <v>0.70833333333333404</v>
      </c>
      <c r="D28" s="14"/>
      <c r="E28" s="14"/>
      <c r="F28" s="14"/>
      <c r="G28" s="14"/>
      <c r="H28" s="63"/>
      <c r="I28" s="68"/>
      <c r="K28" s="215"/>
      <c r="L28" s="216"/>
      <c r="M28" s="217"/>
    </row>
    <row r="29" spans="3:13" ht="24.95" customHeight="1" thickBot="1" x14ac:dyDescent="0.45">
      <c r="C29" s="74">
        <v>0.72916666666666796</v>
      </c>
      <c r="D29" s="19"/>
      <c r="E29" s="19"/>
      <c r="F29" s="19"/>
      <c r="G29" s="19"/>
      <c r="H29" s="62"/>
      <c r="I29" s="67"/>
      <c r="K29" s="215"/>
      <c r="L29" s="216"/>
      <c r="M29" s="217"/>
    </row>
    <row r="30" spans="3:13" ht="24.95" customHeight="1" thickTop="1" x14ac:dyDescent="0.4">
      <c r="C30" s="4"/>
      <c r="K30" s="215"/>
      <c r="L30" s="216"/>
      <c r="M30" s="217"/>
    </row>
    <row r="31" spans="3:13" ht="26.25" x14ac:dyDescent="0.4">
      <c r="H31" t="s">
        <v>95</v>
      </c>
      <c r="K31" s="215"/>
      <c r="L31" s="216"/>
      <c r="M31" s="217"/>
    </row>
    <row r="32" spans="3:13" ht="26.25" x14ac:dyDescent="0.4">
      <c r="G32" s="48"/>
      <c r="H32" s="48" t="s">
        <v>39</v>
      </c>
      <c r="K32" s="215"/>
      <c r="L32" s="216"/>
      <c r="M32" s="217"/>
    </row>
    <row r="33" spans="11:13" ht="26.25" x14ac:dyDescent="0.4">
      <c r="K33" s="215"/>
      <c r="L33" s="216"/>
      <c r="M33" s="217"/>
    </row>
    <row r="34" spans="11:13" ht="26.25" x14ac:dyDescent="0.4">
      <c r="K34" s="215"/>
      <c r="L34" s="216"/>
      <c r="M34" s="217"/>
    </row>
    <row r="35" spans="11:13" ht="26.25" x14ac:dyDescent="0.4">
      <c r="K35" s="215"/>
      <c r="L35" s="216"/>
      <c r="M35" s="217"/>
    </row>
    <row r="36" spans="11:13" ht="26.25" x14ac:dyDescent="0.4">
      <c r="K36" s="215"/>
      <c r="L36" s="216"/>
      <c r="M36" s="217"/>
    </row>
    <row r="37" spans="11:13" ht="26.25" x14ac:dyDescent="0.4">
      <c r="K37" s="216"/>
      <c r="L37" s="216"/>
      <c r="M37" s="216"/>
    </row>
    <row r="38" spans="11:13" ht="26.25" x14ac:dyDescent="0.4">
      <c r="K38" s="215"/>
      <c r="L38" s="216"/>
      <c r="M38" s="217"/>
    </row>
    <row r="39" spans="11:13" ht="26.25" x14ac:dyDescent="0.4">
      <c r="K39" s="215"/>
      <c r="L39" s="216"/>
      <c r="M39" s="217"/>
    </row>
    <row r="40" spans="11:13" ht="26.25" x14ac:dyDescent="0.4">
      <c r="K40" s="215"/>
      <c r="L40" s="216"/>
      <c r="M40" s="217"/>
    </row>
    <row r="41" spans="11:13" ht="26.25" x14ac:dyDescent="0.4">
      <c r="K41" s="7"/>
      <c r="L41" s="7"/>
      <c r="M41" s="7"/>
    </row>
    <row r="42" spans="11:13" ht="26.25" x14ac:dyDescent="0.4">
      <c r="K42" s="7"/>
      <c r="L42" s="7"/>
      <c r="M42" s="7"/>
    </row>
    <row r="43" spans="11:13" ht="26.25" x14ac:dyDescent="0.4">
      <c r="K43" s="7"/>
      <c r="L43" s="7"/>
      <c r="M43" s="7"/>
    </row>
    <row r="44" spans="11:13" ht="26.25" x14ac:dyDescent="0.4">
      <c r="K44" s="7"/>
      <c r="L44" s="7"/>
      <c r="M44" s="7"/>
    </row>
    <row r="45" spans="11:13" ht="26.25" x14ac:dyDescent="0.4">
      <c r="K45" s="7"/>
      <c r="L45" s="7"/>
      <c r="M45" s="7"/>
    </row>
    <row r="46" spans="11:13" ht="26.25" x14ac:dyDescent="0.4">
      <c r="K46" s="7"/>
      <c r="L46" s="7"/>
      <c r="M46" s="7"/>
    </row>
    <row r="47" spans="11:13" ht="26.25" x14ac:dyDescent="0.4">
      <c r="K47" s="7"/>
      <c r="L47" s="7"/>
      <c r="M47" s="7"/>
    </row>
    <row r="48" spans="11:13" ht="26.25" x14ac:dyDescent="0.4">
      <c r="K48" s="7"/>
      <c r="L48" s="7"/>
      <c r="M48" s="7"/>
    </row>
    <row r="49" spans="11:13" ht="26.25" x14ac:dyDescent="0.4">
      <c r="K49" s="7"/>
      <c r="L49" s="7"/>
      <c r="M49" s="7"/>
    </row>
    <row r="50" spans="11:13" ht="26.25" x14ac:dyDescent="0.4">
      <c r="K50" s="7"/>
      <c r="L50" s="7"/>
      <c r="M50" s="7"/>
    </row>
    <row r="51" spans="11:13" ht="26.25" x14ac:dyDescent="0.4">
      <c r="K51" s="7"/>
      <c r="L51" s="7"/>
      <c r="M51" s="7"/>
    </row>
    <row r="52" spans="11:13" ht="26.25" x14ac:dyDescent="0.4">
      <c r="K52" s="7"/>
      <c r="L52" s="7"/>
      <c r="M52" s="7"/>
    </row>
    <row r="53" spans="11:13" ht="26.25" x14ac:dyDescent="0.4">
      <c r="K53" s="7"/>
      <c r="L53" s="7"/>
      <c r="M53" s="7"/>
    </row>
    <row r="54" spans="11:13" ht="26.25" x14ac:dyDescent="0.4">
      <c r="K54" s="7"/>
      <c r="L54" s="7"/>
      <c r="M54" s="7"/>
    </row>
    <row r="55" spans="11:13" ht="26.25" x14ac:dyDescent="0.4">
      <c r="K55" s="7"/>
      <c r="L55" s="7"/>
      <c r="M55" s="7"/>
    </row>
    <row r="56" spans="11:13" ht="26.25" x14ac:dyDescent="0.4">
      <c r="K56" s="7"/>
      <c r="L56" s="7"/>
      <c r="M56" s="7"/>
    </row>
    <row r="57" spans="11:13" ht="26.25" x14ac:dyDescent="0.4">
      <c r="K57" s="7"/>
      <c r="L57" s="7"/>
      <c r="M57" s="7"/>
    </row>
    <row r="58" spans="11:13" ht="26.25" x14ac:dyDescent="0.4">
      <c r="K58" s="7"/>
      <c r="L58" s="7"/>
      <c r="M58" s="7"/>
    </row>
    <row r="59" spans="11:13" ht="26.25" x14ac:dyDescent="0.4">
      <c r="K59" s="7"/>
      <c r="L59" s="7"/>
      <c r="M59" s="7"/>
    </row>
    <row r="60" spans="11:13" ht="26.25" x14ac:dyDescent="0.4">
      <c r="K60" s="7"/>
      <c r="L60" s="7"/>
      <c r="M60" s="7"/>
    </row>
    <row r="61" spans="11:13" ht="26.25" x14ac:dyDescent="0.4">
      <c r="K61" s="7"/>
      <c r="L61" s="7"/>
      <c r="M61" s="7"/>
    </row>
    <row r="62" spans="11:13" ht="26.25" x14ac:dyDescent="0.4">
      <c r="K62" s="7"/>
      <c r="L62" s="7"/>
      <c r="M62" s="7"/>
    </row>
    <row r="63" spans="11:13" ht="26.25" x14ac:dyDescent="0.4">
      <c r="K63" s="7"/>
      <c r="L63" s="7"/>
      <c r="M63" s="7"/>
    </row>
    <row r="64" spans="11:13" ht="26.25" x14ac:dyDescent="0.4">
      <c r="K64" s="7"/>
      <c r="L64" s="7"/>
      <c r="M64" s="7"/>
    </row>
    <row r="65" spans="11:13" ht="26.25" x14ac:dyDescent="0.4">
      <c r="K65" s="7"/>
      <c r="L65" s="7"/>
      <c r="M65" s="7"/>
    </row>
    <row r="66" spans="11:13" ht="26.25" x14ac:dyDescent="0.4">
      <c r="K66" s="7"/>
      <c r="L66" s="7"/>
      <c r="M66" s="7"/>
    </row>
    <row r="67" spans="11:13" ht="26.25" x14ac:dyDescent="0.4">
      <c r="K67" s="7"/>
      <c r="L67" s="7"/>
      <c r="M67" s="7"/>
    </row>
    <row r="68" spans="11:13" ht="26.25" x14ac:dyDescent="0.4">
      <c r="K68" s="7"/>
      <c r="L68" s="7"/>
      <c r="M68" s="7"/>
    </row>
    <row r="69" spans="11:13" ht="26.25" x14ac:dyDescent="0.4">
      <c r="K69" s="7"/>
      <c r="L69" s="7"/>
      <c r="M69" s="7"/>
    </row>
    <row r="70" spans="11:13" ht="26.25" x14ac:dyDescent="0.4">
      <c r="K70" s="7"/>
      <c r="L70" s="7"/>
      <c r="M70" s="7"/>
    </row>
    <row r="71" spans="11:13" ht="26.25" x14ac:dyDescent="0.4">
      <c r="K71" s="7"/>
      <c r="L71" s="7"/>
      <c r="M71" s="7"/>
    </row>
    <row r="72" spans="11:13" ht="26.25" x14ac:dyDescent="0.4">
      <c r="K72" s="7"/>
      <c r="L72" s="7"/>
      <c r="M72" s="7"/>
    </row>
    <row r="73" spans="11:13" ht="26.25" x14ac:dyDescent="0.4">
      <c r="K73" s="7"/>
      <c r="L73" s="7"/>
      <c r="M73" s="7"/>
    </row>
    <row r="74" spans="11:13" ht="26.25" x14ac:dyDescent="0.4">
      <c r="K74" s="7"/>
      <c r="L74" s="7"/>
      <c r="M74" s="7"/>
    </row>
    <row r="75" spans="11:13" ht="26.25" x14ac:dyDescent="0.4">
      <c r="K75" s="7"/>
      <c r="L75" s="7"/>
      <c r="M75" s="7"/>
    </row>
    <row r="76" spans="11:13" ht="26.25" x14ac:dyDescent="0.4">
      <c r="K76" s="7"/>
      <c r="L76" s="7"/>
      <c r="M76" s="7"/>
    </row>
    <row r="77" spans="11:13" ht="26.25" x14ac:dyDescent="0.4">
      <c r="K77" s="7"/>
      <c r="L77" s="7"/>
      <c r="M77" s="7"/>
    </row>
    <row r="78" spans="11:13" ht="26.25" x14ac:dyDescent="0.4">
      <c r="K78" s="7"/>
      <c r="L78" s="7"/>
      <c r="M78" s="7"/>
    </row>
    <row r="79" spans="11:13" ht="26.25" x14ac:dyDescent="0.4">
      <c r="K79" s="7"/>
      <c r="L79" s="7"/>
      <c r="M79" s="7"/>
    </row>
    <row r="80" spans="11:13" ht="26.25" x14ac:dyDescent="0.4">
      <c r="K80" s="7"/>
      <c r="L80" s="7"/>
      <c r="M80" s="7"/>
    </row>
    <row r="81" spans="11:13" ht="26.25" x14ac:dyDescent="0.4">
      <c r="K81" s="7"/>
      <c r="L81" s="7"/>
      <c r="M81" s="7"/>
    </row>
    <row r="82" spans="11:13" ht="26.25" x14ac:dyDescent="0.4">
      <c r="K82" s="7"/>
      <c r="L82" s="7"/>
      <c r="M82" s="7"/>
    </row>
    <row r="83" spans="11:13" ht="26.25" x14ac:dyDescent="0.4">
      <c r="K83" s="7"/>
      <c r="L83" s="7"/>
      <c r="M83" s="7"/>
    </row>
    <row r="84" spans="11:13" ht="26.25" x14ac:dyDescent="0.4">
      <c r="K84" s="7"/>
      <c r="L84" s="7"/>
      <c r="M84" s="7"/>
    </row>
    <row r="85" spans="11:13" ht="26.25" x14ac:dyDescent="0.4">
      <c r="K85" s="7"/>
      <c r="L85" s="7"/>
      <c r="M85" s="7"/>
    </row>
    <row r="86" spans="11:13" ht="26.25" x14ac:dyDescent="0.4">
      <c r="K86" s="7"/>
      <c r="L86" s="7"/>
      <c r="M86" s="7"/>
    </row>
    <row r="87" spans="11:13" ht="26.25" x14ac:dyDescent="0.4">
      <c r="K87" s="7"/>
      <c r="L87" s="7"/>
      <c r="M87" s="7"/>
    </row>
    <row r="88" spans="11:13" ht="26.25" x14ac:dyDescent="0.4">
      <c r="K88" s="7"/>
      <c r="L88" s="7"/>
      <c r="M88" s="7"/>
    </row>
    <row r="89" spans="11:13" ht="26.25" x14ac:dyDescent="0.4">
      <c r="K89" s="7"/>
      <c r="L89" s="7"/>
      <c r="M89" s="7"/>
    </row>
    <row r="90" spans="11:13" ht="26.25" x14ac:dyDescent="0.4">
      <c r="K90" s="7"/>
      <c r="L90" s="7"/>
      <c r="M90" s="7"/>
    </row>
    <row r="91" spans="11:13" ht="26.25" x14ac:dyDescent="0.4">
      <c r="K91" s="7"/>
      <c r="L91" s="7"/>
      <c r="M91" s="7"/>
    </row>
    <row r="92" spans="11:13" ht="26.25" x14ac:dyDescent="0.4">
      <c r="K92" s="7"/>
      <c r="L92" s="7"/>
      <c r="M92" s="7"/>
    </row>
    <row r="93" spans="11:13" ht="26.25" x14ac:dyDescent="0.4">
      <c r="K93" s="7"/>
      <c r="L93" s="7"/>
      <c r="M93" s="7"/>
    </row>
    <row r="94" spans="11:13" ht="26.25" x14ac:dyDescent="0.4">
      <c r="K94" s="7"/>
      <c r="L94" s="7"/>
      <c r="M94" s="7"/>
    </row>
    <row r="95" spans="11:13" ht="26.25" x14ac:dyDescent="0.4">
      <c r="K95" s="7"/>
      <c r="L95" s="7"/>
      <c r="M95" s="7"/>
    </row>
    <row r="96" spans="11:13" ht="26.25" x14ac:dyDescent="0.4">
      <c r="K96" s="7"/>
      <c r="L96" s="7"/>
      <c r="M96" s="7"/>
    </row>
    <row r="97" spans="11:13" ht="26.25" x14ac:dyDescent="0.4">
      <c r="K97" s="7"/>
      <c r="L97" s="7"/>
      <c r="M97" s="7"/>
    </row>
    <row r="98" spans="11:13" ht="26.25" x14ac:dyDescent="0.4">
      <c r="K98" s="7"/>
      <c r="L98" s="7"/>
      <c r="M98" s="7"/>
    </row>
    <row r="99" spans="11:13" ht="26.25" x14ac:dyDescent="0.4">
      <c r="K99" s="7"/>
      <c r="L99" s="7"/>
      <c r="M99" s="7"/>
    </row>
    <row r="100" spans="11:13" ht="26.25" x14ac:dyDescent="0.4">
      <c r="K100" s="7"/>
      <c r="L100" s="7"/>
      <c r="M100" s="7"/>
    </row>
  </sheetData>
  <mergeCells count="5">
    <mergeCell ref="D5:I5"/>
    <mergeCell ref="F6:H6"/>
    <mergeCell ref="F1:H1"/>
    <mergeCell ref="C3:I3"/>
    <mergeCell ref="L1:N1"/>
  </mergeCells>
  <dataValidations count="2">
    <dataValidation type="list" allowBlank="1" showInputMessage="1" showErrorMessage="1" sqref="L1">
      <formula1>Groupe</formula1>
    </dataValidation>
    <dataValidation type="list" allowBlank="1" showInputMessage="1" showErrorMessage="1" sqref="F1:H1">
      <formula1>Abr</formula1>
    </dataValidation>
  </dataValidations>
  <pageMargins left="3.937007874015748E-2" right="3.937007874015748E-2" top="0.15748031496062992" bottom="0" header="0" footer="0"/>
  <pageSetup paperSize="9" scale="75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2:M1009"/>
  <sheetViews>
    <sheetView zoomScaleNormal="100" workbookViewId="0">
      <selection activeCell="C14" sqref="C14"/>
    </sheetView>
  </sheetViews>
  <sheetFormatPr defaultColWidth="9.140625" defaultRowHeight="15" x14ac:dyDescent="0.25"/>
  <cols>
    <col min="2" max="2" width="28.7109375" bestFit="1" customWidth="1"/>
    <col min="3" max="3" width="5.28515625" customWidth="1"/>
    <col min="4" max="4" width="47.28515625" customWidth="1"/>
    <col min="5" max="5" width="18.5703125" bestFit="1" customWidth="1"/>
    <col min="6" max="6" width="12.7109375" customWidth="1"/>
    <col min="7" max="7" width="14.42578125" customWidth="1"/>
    <col min="10" max="10" width="10.85546875" customWidth="1"/>
    <col min="11" max="12" width="10.7109375" bestFit="1" customWidth="1"/>
  </cols>
  <sheetData>
    <row r="2" spans="1:13" ht="15.75" thickBot="1" x14ac:dyDescent="0.3">
      <c r="A2" s="42" t="s">
        <v>47</v>
      </c>
      <c r="B2" s="43" t="s">
        <v>0</v>
      </c>
      <c r="C2" s="43" t="s">
        <v>33</v>
      </c>
      <c r="D2" s="43" t="s">
        <v>1</v>
      </c>
      <c r="E2" s="43" t="s">
        <v>3</v>
      </c>
      <c r="F2" s="43" t="s">
        <v>34</v>
      </c>
      <c r="G2" s="43" t="s">
        <v>48</v>
      </c>
      <c r="H2" s="43" t="s">
        <v>35</v>
      </c>
      <c r="I2" s="43" t="s">
        <v>49</v>
      </c>
      <c r="J2" s="43" t="s">
        <v>52</v>
      </c>
      <c r="K2" s="43" t="s">
        <v>93</v>
      </c>
    </row>
    <row r="3" spans="1:13" ht="15.75" thickTop="1" x14ac:dyDescent="0.25">
      <c r="A3" s="44" t="s">
        <v>213</v>
      </c>
      <c r="B3" s="101" t="s">
        <v>130</v>
      </c>
      <c r="C3" s="45">
        <v>1</v>
      </c>
      <c r="D3" s="45" t="s">
        <v>111</v>
      </c>
      <c r="E3" s="45" t="s">
        <v>212</v>
      </c>
      <c r="F3" s="46">
        <v>44340</v>
      </c>
      <c r="G3" s="47">
        <v>0.33333333333333331</v>
      </c>
      <c r="H3" s="47">
        <v>0.16666666666666666</v>
      </c>
      <c r="I3" s="45" t="s">
        <v>53</v>
      </c>
      <c r="J3" s="45">
        <v>8</v>
      </c>
      <c r="K3" s="45"/>
      <c r="L3" s="21"/>
      <c r="M3" s="22"/>
    </row>
    <row r="4" spans="1:13" x14ac:dyDescent="0.25">
      <c r="A4" t="s">
        <v>214</v>
      </c>
      <c r="B4" s="41" t="s">
        <v>130</v>
      </c>
      <c r="C4">
        <v>1</v>
      </c>
      <c r="D4" t="s">
        <v>111</v>
      </c>
      <c r="E4" t="s">
        <v>212</v>
      </c>
      <c r="F4" s="3">
        <v>44342</v>
      </c>
      <c r="G4" s="21">
        <v>0.33333333333333331</v>
      </c>
      <c r="H4" s="21">
        <v>8.3333333333333329E-2</v>
      </c>
      <c r="I4" t="s">
        <v>53</v>
      </c>
      <c r="J4">
        <v>4</v>
      </c>
    </row>
    <row r="5" spans="1:13" x14ac:dyDescent="0.25">
      <c r="A5" t="s">
        <v>215</v>
      </c>
      <c r="B5" s="41" t="s">
        <v>130</v>
      </c>
      <c r="C5">
        <v>1</v>
      </c>
      <c r="D5" t="s">
        <v>111</v>
      </c>
      <c r="E5" t="s">
        <v>212</v>
      </c>
      <c r="F5" s="3">
        <v>44341</v>
      </c>
      <c r="G5" s="21">
        <v>0.54166666666666663</v>
      </c>
      <c r="H5" s="21">
        <v>0.125</v>
      </c>
      <c r="I5" t="s">
        <v>53</v>
      </c>
      <c r="J5">
        <v>6</v>
      </c>
    </row>
    <row r="6" spans="1:13" x14ac:dyDescent="0.25">
      <c r="A6" t="s">
        <v>216</v>
      </c>
      <c r="B6" s="41" t="s">
        <v>130</v>
      </c>
      <c r="C6">
        <v>1</v>
      </c>
      <c r="D6" t="s">
        <v>111</v>
      </c>
      <c r="E6" t="s">
        <v>50</v>
      </c>
      <c r="F6" s="3">
        <v>44343</v>
      </c>
      <c r="G6" s="21">
        <v>0.33333333333333331</v>
      </c>
      <c r="H6" s="21">
        <v>8.3333333333333329E-2</v>
      </c>
      <c r="I6" t="s">
        <v>53</v>
      </c>
      <c r="J6">
        <v>4</v>
      </c>
      <c r="K6" t="s">
        <v>220</v>
      </c>
    </row>
    <row r="7" spans="1:13" x14ac:dyDescent="0.25">
      <c r="A7" t="s">
        <v>217</v>
      </c>
      <c r="B7" s="41" t="s">
        <v>130</v>
      </c>
      <c r="C7">
        <v>1</v>
      </c>
      <c r="D7" t="s">
        <v>111</v>
      </c>
      <c r="E7" t="s">
        <v>50</v>
      </c>
      <c r="F7" s="3">
        <v>44341</v>
      </c>
      <c r="G7" s="21">
        <v>0.33333333333333331</v>
      </c>
      <c r="H7" s="21">
        <v>0.16666666666666666</v>
      </c>
      <c r="I7" t="s">
        <v>53</v>
      </c>
      <c r="J7">
        <v>8</v>
      </c>
    </row>
    <row r="8" spans="1:13" x14ac:dyDescent="0.25">
      <c r="A8" t="s">
        <v>218</v>
      </c>
      <c r="B8" s="41" t="s">
        <v>130</v>
      </c>
      <c r="C8">
        <v>1</v>
      </c>
      <c r="D8" t="s">
        <v>111</v>
      </c>
      <c r="E8" t="s">
        <v>50</v>
      </c>
      <c r="F8" s="3">
        <v>44340</v>
      </c>
      <c r="G8" s="21">
        <v>0.54166666666666663</v>
      </c>
      <c r="H8" s="21">
        <v>0.16666666666666666</v>
      </c>
      <c r="I8" t="s">
        <v>53</v>
      </c>
      <c r="J8">
        <v>8</v>
      </c>
    </row>
    <row r="9" spans="1:13" x14ac:dyDescent="0.25">
      <c r="B9" s="41"/>
      <c r="F9" s="3"/>
      <c r="G9" s="21"/>
      <c r="H9" s="21"/>
    </row>
    <row r="10" spans="1:13" x14ac:dyDescent="0.25">
      <c r="B10" s="41"/>
      <c r="F10" s="3"/>
      <c r="G10" s="21"/>
      <c r="H10" s="21"/>
    </row>
    <row r="11" spans="1:13" x14ac:dyDescent="0.25">
      <c r="B11" s="41"/>
      <c r="F11" s="3"/>
      <c r="G11" s="21"/>
      <c r="H11" s="21"/>
    </row>
    <row r="12" spans="1:13" x14ac:dyDescent="0.25">
      <c r="B12" s="41"/>
      <c r="F12" s="3"/>
      <c r="G12" s="21"/>
      <c r="H12" s="21"/>
    </row>
    <row r="13" spans="1:13" x14ac:dyDescent="0.25">
      <c r="B13" s="41"/>
      <c r="F13" s="3"/>
      <c r="G13" s="21"/>
      <c r="H13" s="21"/>
    </row>
    <row r="14" spans="1:13" x14ac:dyDescent="0.25">
      <c r="B14" s="41"/>
      <c r="F14" s="3"/>
      <c r="G14" s="21"/>
      <c r="H14" s="21"/>
    </row>
    <row r="15" spans="1:13" x14ac:dyDescent="0.25">
      <c r="B15" s="41"/>
      <c r="F15" s="3"/>
      <c r="G15" s="21"/>
      <c r="H15" s="21"/>
    </row>
    <row r="16" spans="1:13" x14ac:dyDescent="0.25">
      <c r="B16" s="41"/>
      <c r="F16" s="3"/>
      <c r="G16" s="21"/>
      <c r="H16" s="21"/>
    </row>
    <row r="17" spans="2:8" x14ac:dyDescent="0.25">
      <c r="B17" s="41"/>
      <c r="F17" s="3"/>
      <c r="G17" s="21"/>
      <c r="H17" s="21"/>
    </row>
    <row r="18" spans="2:8" x14ac:dyDescent="0.25">
      <c r="B18" s="41"/>
      <c r="F18" s="3"/>
      <c r="G18" s="21"/>
      <c r="H18" s="21"/>
    </row>
    <row r="19" spans="2:8" ht="15.75" customHeight="1" x14ac:dyDescent="0.25">
      <c r="B19" s="41"/>
      <c r="F19" s="3"/>
      <c r="G19" s="21"/>
      <c r="H19" s="21"/>
    </row>
    <row r="20" spans="2:8" ht="16.5" customHeight="1" x14ac:dyDescent="0.25">
      <c r="B20" s="41"/>
      <c r="F20" s="3"/>
      <c r="G20" s="21"/>
      <c r="H20" s="21"/>
    </row>
    <row r="21" spans="2:8" x14ac:dyDescent="0.25">
      <c r="B21" s="41"/>
      <c r="F21" s="3"/>
      <c r="G21" s="21"/>
      <c r="H21" s="21"/>
    </row>
    <row r="22" spans="2:8" x14ac:dyDescent="0.25">
      <c r="B22" s="41"/>
      <c r="F22" s="3"/>
      <c r="G22" s="21"/>
      <c r="H22" s="21"/>
    </row>
    <row r="23" spans="2:8" x14ac:dyDescent="0.25">
      <c r="B23" s="41"/>
      <c r="F23" s="3"/>
      <c r="G23" s="21"/>
      <c r="H23" s="21"/>
    </row>
    <row r="24" spans="2:8" x14ac:dyDescent="0.25">
      <c r="B24" s="41"/>
      <c r="F24" s="3"/>
      <c r="G24" s="21"/>
      <c r="H24" s="21"/>
    </row>
    <row r="25" spans="2:8" x14ac:dyDescent="0.25">
      <c r="B25" s="41"/>
      <c r="F25" s="3"/>
      <c r="G25" s="21"/>
      <c r="H25" s="21"/>
    </row>
    <row r="26" spans="2:8" x14ac:dyDescent="0.25">
      <c r="B26" s="41"/>
      <c r="F26" s="3"/>
      <c r="G26" s="21"/>
      <c r="H26" s="21"/>
    </row>
    <row r="27" spans="2:8" x14ac:dyDescent="0.25">
      <c r="B27" s="41"/>
      <c r="F27" s="3"/>
      <c r="G27" s="21"/>
      <c r="H27" s="21"/>
    </row>
    <row r="28" spans="2:8" x14ac:dyDescent="0.25">
      <c r="B28" s="41"/>
      <c r="F28" s="3"/>
      <c r="G28" s="21"/>
      <c r="H28" s="21"/>
    </row>
    <row r="29" spans="2:8" x14ac:dyDescent="0.25">
      <c r="B29" s="41"/>
      <c r="F29" s="3"/>
      <c r="G29" s="21"/>
      <c r="H29" s="21"/>
    </row>
    <row r="30" spans="2:8" x14ac:dyDescent="0.25">
      <c r="B30" s="41"/>
      <c r="F30" s="3"/>
      <c r="G30" s="21"/>
      <c r="H30" s="21"/>
    </row>
    <row r="31" spans="2:8" x14ac:dyDescent="0.25">
      <c r="B31" s="41"/>
      <c r="F31" s="3"/>
      <c r="G31" s="21"/>
      <c r="H31" s="21"/>
    </row>
    <row r="32" spans="2:8" x14ac:dyDescent="0.25">
      <c r="B32" s="41"/>
      <c r="F32" s="3"/>
      <c r="G32" s="21"/>
      <c r="H32" s="21"/>
    </row>
    <row r="33" spans="2:8" x14ac:dyDescent="0.25">
      <c r="B33" s="41"/>
      <c r="F33" s="3"/>
      <c r="G33" s="21"/>
      <c r="H33" s="21"/>
    </row>
    <row r="34" spans="2:8" x14ac:dyDescent="0.25">
      <c r="B34" s="41"/>
      <c r="F34" s="3"/>
      <c r="G34" s="21"/>
      <c r="H34" s="21"/>
    </row>
    <row r="35" spans="2:8" x14ac:dyDescent="0.25">
      <c r="B35" s="41"/>
      <c r="F35" s="3"/>
      <c r="G35" s="21"/>
      <c r="H35" s="21"/>
    </row>
    <row r="36" spans="2:8" x14ac:dyDescent="0.25">
      <c r="B36" s="41"/>
      <c r="F36" s="3"/>
      <c r="G36" s="21"/>
      <c r="H36" s="21"/>
    </row>
    <row r="37" spans="2:8" x14ac:dyDescent="0.25">
      <c r="B37" s="41"/>
      <c r="F37" s="3"/>
      <c r="G37" s="21"/>
      <c r="H37" s="21"/>
    </row>
    <row r="38" spans="2:8" x14ac:dyDescent="0.25">
      <c r="B38" s="41"/>
      <c r="F38" s="3"/>
      <c r="G38" s="21"/>
      <c r="H38" s="21"/>
    </row>
    <row r="39" spans="2:8" x14ac:dyDescent="0.25">
      <c r="B39" s="41"/>
      <c r="F39" s="3"/>
      <c r="G39" s="21"/>
      <c r="H39" s="21"/>
    </row>
    <row r="40" spans="2:8" x14ac:dyDescent="0.25">
      <c r="B40" s="41"/>
      <c r="F40" s="3"/>
      <c r="G40" s="21"/>
      <c r="H40" s="21"/>
    </row>
    <row r="41" spans="2:8" x14ac:dyDescent="0.25">
      <c r="B41" s="41"/>
      <c r="F41" s="3"/>
      <c r="G41" s="21"/>
      <c r="H41" s="21"/>
    </row>
    <row r="42" spans="2:8" x14ac:dyDescent="0.25">
      <c r="B42" s="41"/>
      <c r="F42" s="3"/>
      <c r="G42" s="21"/>
      <c r="H42" s="21"/>
    </row>
    <row r="43" spans="2:8" x14ac:dyDescent="0.25">
      <c r="B43" s="41"/>
      <c r="F43" s="3"/>
      <c r="G43" s="21"/>
      <c r="H43" s="21"/>
    </row>
    <row r="44" spans="2:8" x14ac:dyDescent="0.25">
      <c r="B44" s="41"/>
      <c r="F44" s="3"/>
      <c r="G44" s="21"/>
      <c r="H44" s="21"/>
    </row>
    <row r="45" spans="2:8" x14ac:dyDescent="0.25">
      <c r="B45" s="41"/>
      <c r="F45" s="3"/>
      <c r="G45" s="21"/>
      <c r="H45" s="21"/>
    </row>
    <row r="46" spans="2:8" x14ac:dyDescent="0.25">
      <c r="B46" s="41"/>
      <c r="F46" s="3"/>
      <c r="G46" s="21"/>
      <c r="H46" s="21"/>
    </row>
    <row r="47" spans="2:8" x14ac:dyDescent="0.25">
      <c r="B47" s="41"/>
      <c r="F47" s="3"/>
      <c r="G47" s="21"/>
      <c r="H47" s="21"/>
    </row>
    <row r="48" spans="2:8" x14ac:dyDescent="0.25">
      <c r="B48" s="41"/>
      <c r="F48" s="3"/>
      <c r="G48" s="21"/>
      <c r="H48" s="21"/>
    </row>
    <row r="49" spans="1:8" x14ac:dyDescent="0.25">
      <c r="B49" s="41"/>
      <c r="F49" s="3"/>
      <c r="G49" s="21"/>
      <c r="H49" s="21"/>
    </row>
    <row r="50" spans="1:8" x14ac:dyDescent="0.25">
      <c r="B50" s="41"/>
      <c r="F50" s="3"/>
      <c r="G50" s="21"/>
      <c r="H50" s="21"/>
    </row>
    <row r="51" spans="1:8" x14ac:dyDescent="0.25">
      <c r="B51" s="41"/>
      <c r="F51" s="3"/>
      <c r="G51" s="21"/>
      <c r="H51" s="21"/>
    </row>
    <row r="52" spans="1:8" x14ac:dyDescent="0.25">
      <c r="B52" s="41"/>
      <c r="F52" s="3"/>
      <c r="G52" s="21"/>
      <c r="H52" s="21"/>
    </row>
    <row r="53" spans="1:8" x14ac:dyDescent="0.25">
      <c r="B53" s="41"/>
      <c r="F53" s="3"/>
      <c r="G53" s="21"/>
      <c r="H53" s="21"/>
    </row>
    <row r="54" spans="1:8" x14ac:dyDescent="0.25">
      <c r="B54" s="41"/>
      <c r="F54" s="3"/>
      <c r="G54" s="21"/>
      <c r="H54" s="21"/>
    </row>
    <row r="55" spans="1:8" x14ac:dyDescent="0.25">
      <c r="B55" s="41"/>
      <c r="F55" s="3"/>
      <c r="G55" s="21"/>
      <c r="H55" s="21"/>
    </row>
    <row r="56" spans="1:8" x14ac:dyDescent="0.25">
      <c r="B56" s="41"/>
      <c r="F56" s="3"/>
      <c r="G56" s="21"/>
      <c r="H56" s="21"/>
    </row>
    <row r="57" spans="1:8" x14ac:dyDescent="0.25">
      <c r="A57" s="102"/>
      <c r="B57" s="103"/>
      <c r="F57" s="3"/>
      <c r="G57" s="21"/>
      <c r="H57" s="21"/>
    </row>
    <row r="58" spans="1:8" x14ac:dyDescent="0.25">
      <c r="A58" s="102"/>
      <c r="B58" s="103"/>
      <c r="F58" s="3"/>
      <c r="G58" s="21"/>
      <c r="H58" s="21"/>
    </row>
    <row r="59" spans="1:8" x14ac:dyDescent="0.25">
      <c r="A59" s="102"/>
      <c r="B59" s="103"/>
      <c r="F59" s="3"/>
      <c r="G59" s="21"/>
      <c r="H59" s="21"/>
    </row>
    <row r="60" spans="1:8" x14ac:dyDescent="0.25">
      <c r="A60" s="102"/>
      <c r="B60" s="103"/>
      <c r="F60" s="3"/>
      <c r="G60" s="21"/>
      <c r="H60" s="21"/>
    </row>
    <row r="61" spans="1:8" x14ac:dyDescent="0.25">
      <c r="A61" s="102"/>
      <c r="B61" s="103"/>
      <c r="F61" s="3"/>
      <c r="G61" s="21"/>
      <c r="H61" s="21"/>
    </row>
    <row r="62" spans="1:8" x14ac:dyDescent="0.25">
      <c r="A62" s="102"/>
      <c r="B62" s="103"/>
      <c r="F62" s="3"/>
      <c r="G62" s="21"/>
      <c r="H62" s="21"/>
    </row>
    <row r="63" spans="1:8" x14ac:dyDescent="0.25">
      <c r="A63" s="102"/>
      <c r="B63" s="103"/>
      <c r="F63" s="3"/>
      <c r="G63" s="21"/>
      <c r="H63" s="21"/>
    </row>
    <row r="64" spans="1:8" x14ac:dyDescent="0.25">
      <c r="A64" s="102"/>
      <c r="B64" s="103"/>
      <c r="F64" s="3"/>
      <c r="G64" s="21"/>
      <c r="H64" s="21"/>
    </row>
    <row r="65" spans="2:8" x14ac:dyDescent="0.25">
      <c r="B65" s="41"/>
      <c r="D65" s="93"/>
      <c r="F65" s="3"/>
      <c r="G65" s="21"/>
      <c r="H65" s="21"/>
    </row>
    <row r="66" spans="2:8" x14ac:dyDescent="0.25">
      <c r="B66" s="41"/>
      <c r="F66" s="3"/>
      <c r="G66" s="21"/>
      <c r="H66" s="21"/>
    </row>
    <row r="67" spans="2:8" x14ac:dyDescent="0.25">
      <c r="B67" s="41"/>
      <c r="F67" s="3"/>
      <c r="G67" s="21"/>
      <c r="H67" s="21"/>
    </row>
    <row r="68" spans="2:8" x14ac:dyDescent="0.25">
      <c r="B68" s="41"/>
      <c r="F68" s="3"/>
      <c r="G68" s="21"/>
      <c r="H68" s="21"/>
    </row>
    <row r="69" spans="2:8" x14ac:dyDescent="0.25">
      <c r="B69" s="41"/>
      <c r="F69" s="3"/>
      <c r="G69" s="21"/>
      <c r="H69" s="21"/>
    </row>
    <row r="70" spans="2:8" x14ac:dyDescent="0.25">
      <c r="B70" s="41"/>
      <c r="F70" s="3"/>
      <c r="G70" s="21"/>
      <c r="H70" s="21"/>
    </row>
    <row r="71" spans="2:8" x14ac:dyDescent="0.25">
      <c r="B71" s="41"/>
      <c r="F71" s="3"/>
      <c r="G71" s="21"/>
      <c r="H71" s="21"/>
    </row>
    <row r="72" spans="2:8" x14ac:dyDescent="0.25">
      <c r="B72" s="41"/>
      <c r="D72" s="93"/>
      <c r="F72" s="3"/>
      <c r="G72" s="21"/>
      <c r="H72" s="21"/>
    </row>
    <row r="73" spans="2:8" x14ac:dyDescent="0.25">
      <c r="B73" s="41"/>
      <c r="D73" s="93"/>
      <c r="F73" s="3"/>
      <c r="G73" s="21"/>
      <c r="H73" s="21"/>
    </row>
    <row r="74" spans="2:8" x14ac:dyDescent="0.25">
      <c r="B74" s="41"/>
      <c r="F74" s="3"/>
      <c r="G74" s="21"/>
      <c r="H74" s="21"/>
    </row>
    <row r="75" spans="2:8" x14ac:dyDescent="0.25">
      <c r="B75" s="41"/>
      <c r="D75" s="93"/>
      <c r="F75" s="3"/>
      <c r="G75" s="21"/>
      <c r="H75" s="21"/>
    </row>
    <row r="76" spans="2:8" x14ac:dyDescent="0.25">
      <c r="B76" s="41"/>
      <c r="F76" s="3"/>
      <c r="G76" s="21"/>
      <c r="H76" s="21"/>
    </row>
    <row r="77" spans="2:8" x14ac:dyDescent="0.25">
      <c r="B77" s="41"/>
      <c r="F77" s="3"/>
      <c r="G77" s="21"/>
      <c r="H77" s="21"/>
    </row>
    <row r="78" spans="2:8" x14ac:dyDescent="0.25">
      <c r="B78" s="41"/>
      <c r="F78" s="3"/>
      <c r="G78" s="21"/>
      <c r="H78" s="21"/>
    </row>
    <row r="79" spans="2:8" x14ac:dyDescent="0.25">
      <c r="B79" s="41"/>
      <c r="F79" s="3"/>
      <c r="G79" s="21"/>
      <c r="H79" s="21"/>
    </row>
    <row r="80" spans="2:8" x14ac:dyDescent="0.25">
      <c r="B80" s="41"/>
      <c r="F80" s="3"/>
      <c r="G80" s="21"/>
      <c r="H80" s="21"/>
    </row>
    <row r="81" spans="2:8" x14ac:dyDescent="0.25">
      <c r="B81" s="41"/>
      <c r="F81" s="3"/>
      <c r="G81" s="21"/>
      <c r="H81" s="21"/>
    </row>
    <row r="82" spans="2:8" x14ac:dyDescent="0.25">
      <c r="B82" s="100"/>
      <c r="C82" s="97"/>
      <c r="D82" s="97"/>
      <c r="F82" s="3"/>
      <c r="G82" s="21"/>
      <c r="H82" s="21"/>
    </row>
    <row r="83" spans="2:8" x14ac:dyDescent="0.25">
      <c r="B83" s="41"/>
      <c r="F83" s="3"/>
      <c r="G83" s="21"/>
      <c r="H83" s="21"/>
    </row>
    <row r="84" spans="2:8" x14ac:dyDescent="0.25">
      <c r="B84" s="41"/>
      <c r="F84" s="3"/>
      <c r="G84" s="21"/>
      <c r="H84" s="21"/>
    </row>
    <row r="85" spans="2:8" x14ac:dyDescent="0.25">
      <c r="B85" s="41"/>
      <c r="F85" s="3"/>
      <c r="G85" s="21"/>
      <c r="H85" s="21"/>
    </row>
    <row r="86" spans="2:8" x14ac:dyDescent="0.25">
      <c r="B86" s="41"/>
      <c r="F86" s="3"/>
      <c r="G86" s="21"/>
      <c r="H86" s="21"/>
    </row>
    <row r="87" spans="2:8" x14ac:dyDescent="0.25">
      <c r="B87" s="41"/>
      <c r="F87" s="3"/>
      <c r="G87" s="21"/>
      <c r="H87" s="21"/>
    </row>
    <row r="88" spans="2:8" x14ac:dyDescent="0.25">
      <c r="B88" s="41"/>
      <c r="F88" s="3"/>
      <c r="G88" s="21"/>
      <c r="H88" s="21"/>
    </row>
    <row r="89" spans="2:8" x14ac:dyDescent="0.25">
      <c r="B89" s="41"/>
      <c r="F89" s="3"/>
      <c r="G89" s="21"/>
      <c r="H89" s="21"/>
    </row>
    <row r="90" spans="2:8" x14ac:dyDescent="0.25">
      <c r="B90" s="41"/>
      <c r="F90" s="3"/>
      <c r="G90" s="21"/>
      <c r="H90" s="21"/>
    </row>
    <row r="91" spans="2:8" x14ac:dyDescent="0.25">
      <c r="B91" s="41"/>
      <c r="F91" s="3"/>
      <c r="G91" s="21"/>
      <c r="H91" s="21"/>
    </row>
    <row r="92" spans="2:8" x14ac:dyDescent="0.25">
      <c r="B92" s="41"/>
      <c r="F92" s="3"/>
      <c r="G92" s="21"/>
      <c r="H92" s="21"/>
    </row>
    <row r="93" spans="2:8" x14ac:dyDescent="0.25">
      <c r="B93" s="41"/>
      <c r="F93" s="3"/>
      <c r="G93" s="21"/>
      <c r="H93" s="21"/>
    </row>
    <row r="94" spans="2:8" x14ac:dyDescent="0.25">
      <c r="B94" s="41"/>
      <c r="F94" s="3"/>
      <c r="G94" s="21"/>
      <c r="H94" s="21"/>
    </row>
    <row r="95" spans="2:8" x14ac:dyDescent="0.25">
      <c r="B95" s="41"/>
      <c r="F95" s="3"/>
      <c r="G95" s="21"/>
      <c r="H95" s="21"/>
    </row>
    <row r="96" spans="2:8" x14ac:dyDescent="0.25">
      <c r="B96" s="41"/>
      <c r="F96" s="3"/>
      <c r="G96" s="21"/>
      <c r="H96" s="21"/>
    </row>
    <row r="97" spans="2:8" x14ac:dyDescent="0.25">
      <c r="B97" s="41"/>
      <c r="F97" s="3"/>
      <c r="G97" s="21"/>
      <c r="H97" s="21"/>
    </row>
    <row r="98" spans="2:8" x14ac:dyDescent="0.25">
      <c r="B98" s="41"/>
      <c r="F98" s="3"/>
      <c r="G98" s="21"/>
      <c r="H98" s="21"/>
    </row>
    <row r="99" spans="2:8" x14ac:dyDescent="0.25">
      <c r="B99" s="41"/>
      <c r="F99" s="3"/>
      <c r="G99" s="21"/>
      <c r="H99" s="21"/>
    </row>
    <row r="100" spans="2:8" x14ac:dyDescent="0.25">
      <c r="B100" s="41"/>
      <c r="F100" s="3"/>
      <c r="G100" s="21"/>
      <c r="H100" s="21"/>
    </row>
    <row r="101" spans="2:8" x14ac:dyDescent="0.25">
      <c r="B101" s="41"/>
      <c r="D101" s="95"/>
      <c r="F101" s="3"/>
      <c r="G101" s="21"/>
      <c r="H101" s="21"/>
    </row>
    <row r="102" spans="2:8" x14ac:dyDescent="0.25">
      <c r="B102" s="41"/>
      <c r="F102" s="3"/>
      <c r="G102" s="21"/>
      <c r="H102" s="21"/>
    </row>
    <row r="103" spans="2:8" x14ac:dyDescent="0.25">
      <c r="B103" s="41"/>
      <c r="F103" s="3"/>
      <c r="G103" s="21"/>
      <c r="H103" s="21"/>
    </row>
    <row r="104" spans="2:8" x14ac:dyDescent="0.25">
      <c r="B104" s="41"/>
      <c r="F104" s="3"/>
      <c r="G104" s="21"/>
      <c r="H104" s="21"/>
    </row>
    <row r="105" spans="2:8" x14ac:dyDescent="0.25">
      <c r="B105" s="41"/>
      <c r="F105" s="3"/>
      <c r="G105" s="21"/>
      <c r="H105" s="21"/>
    </row>
    <row r="106" spans="2:8" x14ac:dyDescent="0.25">
      <c r="B106" s="41"/>
      <c r="F106" s="3"/>
      <c r="G106" s="21"/>
      <c r="H106" s="21"/>
    </row>
    <row r="107" spans="2:8" x14ac:dyDescent="0.25">
      <c r="B107" s="41"/>
      <c r="F107" s="3"/>
      <c r="G107" s="21"/>
      <c r="H107" s="21"/>
    </row>
    <row r="108" spans="2:8" x14ac:dyDescent="0.25">
      <c r="B108" s="41"/>
      <c r="F108" s="3"/>
      <c r="G108" s="21"/>
      <c r="H108" s="21"/>
    </row>
    <row r="109" spans="2:8" x14ac:dyDescent="0.25">
      <c r="B109" s="41"/>
      <c r="F109" s="3"/>
      <c r="G109" s="21"/>
      <c r="H109" s="21"/>
    </row>
    <row r="110" spans="2:8" x14ac:dyDescent="0.25">
      <c r="B110" s="41"/>
      <c r="D110" s="95"/>
      <c r="F110" s="3"/>
      <c r="G110" s="21"/>
      <c r="H110" s="21"/>
    </row>
    <row r="111" spans="2:8" x14ac:dyDescent="0.25">
      <c r="B111" s="41"/>
      <c r="F111" s="3"/>
      <c r="G111" s="21"/>
      <c r="H111" s="21"/>
    </row>
    <row r="112" spans="2:8" x14ac:dyDescent="0.25">
      <c r="B112" s="41"/>
      <c r="F112" s="3"/>
      <c r="G112" s="21"/>
      <c r="H112" s="21"/>
    </row>
    <row r="113" spans="2:8" x14ac:dyDescent="0.25">
      <c r="B113" s="41"/>
      <c r="F113" s="3"/>
      <c r="G113" s="21"/>
      <c r="H113" s="21"/>
    </row>
    <row r="114" spans="2:8" x14ac:dyDescent="0.25">
      <c r="B114" s="41"/>
      <c r="F114" s="3"/>
      <c r="G114" s="21"/>
      <c r="H114" s="21"/>
    </row>
    <row r="115" spans="2:8" x14ac:dyDescent="0.25">
      <c r="B115" s="41"/>
      <c r="F115" s="3"/>
      <c r="G115" s="21"/>
      <c r="H115" s="21"/>
    </row>
    <row r="116" spans="2:8" x14ac:dyDescent="0.25">
      <c r="B116" s="41"/>
      <c r="F116" s="3"/>
      <c r="G116" s="21"/>
      <c r="H116" s="21"/>
    </row>
    <row r="117" spans="2:8" x14ac:dyDescent="0.25">
      <c r="B117" s="41"/>
      <c r="F117" s="3"/>
      <c r="G117" s="21"/>
      <c r="H117" s="21"/>
    </row>
    <row r="118" spans="2:8" x14ac:dyDescent="0.25">
      <c r="B118" s="41"/>
      <c r="F118" s="3"/>
      <c r="G118" s="21"/>
      <c r="H118" s="21"/>
    </row>
    <row r="119" spans="2:8" x14ac:dyDescent="0.25">
      <c r="B119" s="41"/>
      <c r="F119" s="3"/>
      <c r="G119" s="21"/>
      <c r="H119" s="21"/>
    </row>
    <row r="120" spans="2:8" x14ac:dyDescent="0.25">
      <c r="B120" s="41"/>
      <c r="F120" s="3"/>
      <c r="G120" s="21"/>
      <c r="H120" s="21"/>
    </row>
    <row r="121" spans="2:8" x14ac:dyDescent="0.25">
      <c r="B121" s="41"/>
      <c r="F121" s="3"/>
      <c r="G121" s="21"/>
      <c r="H121" s="21"/>
    </row>
    <row r="122" spans="2:8" x14ac:dyDescent="0.25">
      <c r="B122" s="41"/>
      <c r="F122" s="3"/>
      <c r="G122" s="21"/>
      <c r="H122" s="21"/>
    </row>
    <row r="123" spans="2:8" x14ac:dyDescent="0.25">
      <c r="B123" s="41"/>
      <c r="D123" s="95"/>
      <c r="F123" s="3"/>
      <c r="G123" s="21"/>
      <c r="H123" s="21"/>
    </row>
    <row r="124" spans="2:8" x14ac:dyDescent="0.25">
      <c r="B124" s="41"/>
      <c r="F124" s="3"/>
      <c r="G124" s="21"/>
      <c r="H124" s="21"/>
    </row>
    <row r="125" spans="2:8" x14ac:dyDescent="0.25">
      <c r="B125" s="41"/>
      <c r="F125" s="3"/>
      <c r="G125" s="21"/>
      <c r="H125" s="21"/>
    </row>
    <row r="126" spans="2:8" x14ac:dyDescent="0.25">
      <c r="B126" s="41"/>
      <c r="F126" s="3"/>
      <c r="G126" s="21"/>
      <c r="H126" s="21"/>
    </row>
    <row r="127" spans="2:8" x14ac:dyDescent="0.25">
      <c r="B127" s="41"/>
      <c r="F127" s="3"/>
      <c r="G127" s="21"/>
      <c r="H127" s="21"/>
    </row>
    <row r="128" spans="2:8" x14ac:dyDescent="0.25">
      <c r="B128" s="41"/>
      <c r="F128" s="3"/>
      <c r="G128" s="21"/>
      <c r="H128" s="21"/>
    </row>
    <row r="129" spans="2:8" x14ac:dyDescent="0.25">
      <c r="B129" s="41"/>
      <c r="F129" s="3"/>
      <c r="G129" s="21"/>
      <c r="H129" s="21"/>
    </row>
    <row r="130" spans="2:8" x14ac:dyDescent="0.25">
      <c r="B130" s="41"/>
      <c r="F130" s="3"/>
      <c r="G130" s="21"/>
      <c r="H130" s="21"/>
    </row>
    <row r="131" spans="2:8" x14ac:dyDescent="0.25">
      <c r="B131" s="41"/>
      <c r="F131" s="3"/>
      <c r="G131" s="21"/>
      <c r="H131" s="21"/>
    </row>
    <row r="132" spans="2:8" x14ac:dyDescent="0.25">
      <c r="B132" s="41"/>
      <c r="F132" s="3"/>
      <c r="G132" s="21"/>
      <c r="H132" s="21"/>
    </row>
    <row r="133" spans="2:8" x14ac:dyDescent="0.25">
      <c r="B133" s="41"/>
      <c r="F133" s="3"/>
      <c r="G133" s="21"/>
      <c r="H133" s="21"/>
    </row>
    <row r="134" spans="2:8" x14ac:dyDescent="0.25">
      <c r="B134" s="41"/>
      <c r="F134" s="3"/>
      <c r="G134" s="21"/>
      <c r="H134" s="21"/>
    </row>
    <row r="135" spans="2:8" x14ac:dyDescent="0.25">
      <c r="B135" s="41"/>
      <c r="F135" s="3"/>
      <c r="G135" s="21"/>
      <c r="H135" s="21"/>
    </row>
    <row r="136" spans="2:8" x14ac:dyDescent="0.25">
      <c r="B136" s="41"/>
      <c r="F136" s="3"/>
      <c r="G136" s="21"/>
      <c r="H136" s="21"/>
    </row>
    <row r="137" spans="2:8" x14ac:dyDescent="0.25">
      <c r="B137" s="41"/>
      <c r="F137" s="3"/>
      <c r="G137" s="21"/>
      <c r="H137" s="21"/>
    </row>
    <row r="138" spans="2:8" x14ac:dyDescent="0.25">
      <c r="B138" s="41"/>
      <c r="F138" s="3"/>
      <c r="G138" s="21"/>
      <c r="H138" s="21"/>
    </row>
    <row r="139" spans="2:8" x14ac:dyDescent="0.25">
      <c r="B139" s="41"/>
      <c r="F139" s="3"/>
      <c r="G139" s="21"/>
      <c r="H139" s="21"/>
    </row>
    <row r="140" spans="2:8" x14ac:dyDescent="0.25">
      <c r="B140" s="41"/>
      <c r="F140" s="3"/>
      <c r="G140" s="21"/>
      <c r="H140" s="21"/>
    </row>
    <row r="141" spans="2:8" x14ac:dyDescent="0.25">
      <c r="B141" s="41"/>
      <c r="F141" s="3"/>
      <c r="G141" s="21"/>
      <c r="H141" s="21"/>
    </row>
    <row r="142" spans="2:8" x14ac:dyDescent="0.25">
      <c r="B142" s="41"/>
      <c r="D142" s="96"/>
      <c r="F142" s="3"/>
      <c r="G142" s="21"/>
      <c r="H142" s="21"/>
    </row>
    <row r="143" spans="2:8" x14ac:dyDescent="0.25">
      <c r="B143" s="41"/>
      <c r="F143" s="3"/>
      <c r="G143" s="21"/>
      <c r="H143" s="21"/>
    </row>
    <row r="144" spans="2:8" x14ac:dyDescent="0.25">
      <c r="B144" s="41"/>
      <c r="F144" s="3"/>
      <c r="G144" s="21"/>
      <c r="H144" s="21"/>
    </row>
    <row r="145" spans="2:8" x14ac:dyDescent="0.25">
      <c r="B145" s="41"/>
      <c r="F145" s="3"/>
      <c r="G145" s="21"/>
      <c r="H145" s="21"/>
    </row>
    <row r="146" spans="2:8" x14ac:dyDescent="0.25">
      <c r="B146" s="41"/>
      <c r="F146" s="3"/>
      <c r="G146" s="21"/>
      <c r="H146" s="21"/>
    </row>
    <row r="147" spans="2:8" x14ac:dyDescent="0.25">
      <c r="B147" s="41"/>
      <c r="F147" s="3"/>
      <c r="G147" s="21"/>
      <c r="H147" s="21"/>
    </row>
    <row r="148" spans="2:8" x14ac:dyDescent="0.25">
      <c r="B148" s="41"/>
      <c r="F148" s="3"/>
      <c r="G148" s="21"/>
      <c r="H148" s="21"/>
    </row>
    <row r="149" spans="2:8" x14ac:dyDescent="0.25">
      <c r="B149" s="41"/>
      <c r="F149" s="3"/>
      <c r="G149" s="21"/>
      <c r="H149" s="21"/>
    </row>
    <row r="150" spans="2:8" x14ac:dyDescent="0.25">
      <c r="B150" s="41"/>
      <c r="F150" s="3"/>
      <c r="G150" s="21"/>
      <c r="H150" s="21"/>
    </row>
    <row r="151" spans="2:8" x14ac:dyDescent="0.25">
      <c r="B151" s="41"/>
      <c r="F151" s="3"/>
      <c r="G151" s="21"/>
      <c r="H151" s="21"/>
    </row>
    <row r="152" spans="2:8" x14ac:dyDescent="0.25">
      <c r="B152" s="41"/>
      <c r="F152" s="3"/>
      <c r="G152" s="21"/>
      <c r="H152" s="21"/>
    </row>
    <row r="153" spans="2:8" x14ac:dyDescent="0.25">
      <c r="B153" s="41"/>
      <c r="F153" s="3"/>
      <c r="G153" s="21"/>
      <c r="H153" s="21"/>
    </row>
    <row r="154" spans="2:8" x14ac:dyDescent="0.25">
      <c r="B154" s="41"/>
      <c r="F154" s="3"/>
      <c r="G154" s="21"/>
      <c r="H154" s="21"/>
    </row>
    <row r="155" spans="2:8" x14ac:dyDescent="0.25">
      <c r="B155" s="41"/>
      <c r="F155" s="3"/>
      <c r="G155" s="21"/>
      <c r="H155" s="21"/>
    </row>
    <row r="156" spans="2:8" x14ac:dyDescent="0.25">
      <c r="B156" s="41"/>
      <c r="F156" s="3"/>
      <c r="G156" s="21"/>
      <c r="H156" s="21"/>
    </row>
    <row r="157" spans="2:8" x14ac:dyDescent="0.25">
      <c r="B157" s="41"/>
      <c r="F157" s="3"/>
      <c r="G157" s="21"/>
      <c r="H157" s="21"/>
    </row>
    <row r="158" spans="2:8" x14ac:dyDescent="0.25">
      <c r="B158" s="41"/>
      <c r="F158" s="3"/>
      <c r="G158" s="21"/>
      <c r="H158" s="21"/>
    </row>
    <row r="159" spans="2:8" x14ac:dyDescent="0.25">
      <c r="B159" s="41"/>
      <c r="F159" s="3"/>
      <c r="G159" s="21"/>
      <c r="H159" s="21"/>
    </row>
    <row r="160" spans="2:8" x14ac:dyDescent="0.25">
      <c r="F160" s="3"/>
      <c r="G160" s="21"/>
      <c r="H160" s="21"/>
    </row>
    <row r="161" spans="6:8" x14ac:dyDescent="0.25">
      <c r="F161" s="3"/>
      <c r="G161" s="21"/>
      <c r="H161" s="21"/>
    </row>
    <row r="162" spans="6:8" x14ac:dyDescent="0.25">
      <c r="F162" s="3"/>
      <c r="G162" s="21"/>
      <c r="H162" s="21"/>
    </row>
    <row r="163" spans="6:8" x14ac:dyDescent="0.25">
      <c r="F163" s="3"/>
      <c r="G163" s="21"/>
      <c r="H163" s="21"/>
    </row>
    <row r="164" spans="6:8" x14ac:dyDescent="0.25">
      <c r="F164" s="3"/>
      <c r="G164" s="21"/>
      <c r="H164" s="21"/>
    </row>
    <row r="165" spans="6:8" x14ac:dyDescent="0.25">
      <c r="F165" s="3"/>
      <c r="G165" s="21"/>
      <c r="H165" s="21"/>
    </row>
    <row r="166" spans="6:8" x14ac:dyDescent="0.25">
      <c r="F166" s="3"/>
      <c r="G166" s="21"/>
      <c r="H166" s="21"/>
    </row>
    <row r="167" spans="6:8" x14ac:dyDescent="0.25">
      <c r="F167" s="3"/>
      <c r="G167" s="21"/>
      <c r="H167" s="21"/>
    </row>
    <row r="168" spans="6:8" x14ac:dyDescent="0.25">
      <c r="F168" s="3"/>
      <c r="G168" s="21"/>
      <c r="H168" s="21"/>
    </row>
    <row r="169" spans="6:8" x14ac:dyDescent="0.25">
      <c r="F169" s="3"/>
      <c r="G169" s="21"/>
      <c r="H169" s="21"/>
    </row>
    <row r="170" spans="6:8" x14ac:dyDescent="0.25">
      <c r="F170" s="3"/>
      <c r="G170" s="21"/>
      <c r="H170" s="21"/>
    </row>
    <row r="171" spans="6:8" x14ac:dyDescent="0.25">
      <c r="F171" s="3"/>
      <c r="G171" s="21"/>
      <c r="H171" s="21"/>
    </row>
    <row r="172" spans="6:8" x14ac:dyDescent="0.25">
      <c r="F172" s="3"/>
      <c r="G172" s="21"/>
      <c r="H172" s="21"/>
    </row>
    <row r="173" spans="6:8" x14ac:dyDescent="0.25">
      <c r="F173" s="3"/>
      <c r="G173" s="21"/>
      <c r="H173" s="21"/>
    </row>
    <row r="174" spans="6:8" x14ac:dyDescent="0.25">
      <c r="F174" s="3"/>
      <c r="G174" s="21"/>
      <c r="H174" s="21"/>
    </row>
    <row r="175" spans="6:8" x14ac:dyDescent="0.25">
      <c r="F175" s="3"/>
      <c r="G175" s="21"/>
      <c r="H175" s="21"/>
    </row>
    <row r="176" spans="6:8" x14ac:dyDescent="0.25">
      <c r="F176" s="3"/>
      <c r="G176" s="21"/>
      <c r="H176" s="21"/>
    </row>
    <row r="177" spans="6:8" x14ac:dyDescent="0.25">
      <c r="F177" s="3"/>
      <c r="G177" s="21"/>
      <c r="H177" s="21"/>
    </row>
    <row r="178" spans="6:8" x14ac:dyDescent="0.25">
      <c r="F178" s="3"/>
      <c r="G178" s="21"/>
      <c r="H178" s="21"/>
    </row>
    <row r="179" spans="6:8" x14ac:dyDescent="0.25">
      <c r="F179" s="3"/>
      <c r="G179" s="21"/>
      <c r="H179" s="21"/>
    </row>
    <row r="180" spans="6:8" x14ac:dyDescent="0.25">
      <c r="F180" s="3"/>
      <c r="G180" s="21"/>
      <c r="H180" s="21"/>
    </row>
    <row r="181" spans="6:8" x14ac:dyDescent="0.25">
      <c r="F181" s="3"/>
      <c r="G181" s="21"/>
      <c r="H181" s="21"/>
    </row>
    <row r="182" spans="6:8" x14ac:dyDescent="0.25">
      <c r="F182" s="3"/>
      <c r="G182" s="21"/>
      <c r="H182" s="21"/>
    </row>
    <row r="183" spans="6:8" x14ac:dyDescent="0.25">
      <c r="F183" s="3"/>
      <c r="G183" s="21"/>
      <c r="H183" s="21"/>
    </row>
    <row r="184" spans="6:8" x14ac:dyDescent="0.25">
      <c r="F184" s="3"/>
      <c r="G184" s="21"/>
      <c r="H184" s="21"/>
    </row>
    <row r="185" spans="6:8" x14ac:dyDescent="0.25">
      <c r="F185" s="3"/>
      <c r="G185" s="21"/>
      <c r="H185" s="21"/>
    </row>
    <row r="186" spans="6:8" x14ac:dyDescent="0.25">
      <c r="F186" s="3"/>
      <c r="G186" s="21"/>
      <c r="H186" s="21"/>
    </row>
    <row r="187" spans="6:8" x14ac:dyDescent="0.25">
      <c r="F187" s="3"/>
      <c r="G187" s="21"/>
      <c r="H187" s="21"/>
    </row>
    <row r="188" spans="6:8" x14ac:dyDescent="0.25">
      <c r="F188" s="3"/>
      <c r="G188" s="21"/>
      <c r="H188" s="21"/>
    </row>
    <row r="189" spans="6:8" x14ac:dyDescent="0.25">
      <c r="F189" s="3"/>
      <c r="G189" s="21"/>
      <c r="H189" s="21"/>
    </row>
    <row r="190" spans="6:8" x14ac:dyDescent="0.25">
      <c r="F190" s="3"/>
      <c r="G190" s="21"/>
      <c r="H190" s="21"/>
    </row>
    <row r="191" spans="6:8" x14ac:dyDescent="0.25">
      <c r="F191" s="3"/>
      <c r="G191" s="21"/>
      <c r="H191" s="21"/>
    </row>
    <row r="192" spans="6:8" x14ac:dyDescent="0.25">
      <c r="F192" s="3"/>
      <c r="G192" s="21"/>
      <c r="H192" s="21"/>
    </row>
    <row r="193" spans="1:8" x14ac:dyDescent="0.25">
      <c r="F193" s="3"/>
      <c r="G193" s="21"/>
      <c r="H193" s="21"/>
    </row>
    <row r="194" spans="1:8" x14ac:dyDescent="0.25">
      <c r="F194" s="3"/>
      <c r="G194" s="21"/>
      <c r="H194" s="21"/>
    </row>
    <row r="195" spans="1:8" x14ac:dyDescent="0.25">
      <c r="F195" s="3"/>
      <c r="G195" s="21"/>
      <c r="H195" s="21"/>
    </row>
    <row r="196" spans="1:8" x14ac:dyDescent="0.25">
      <c r="A196" s="121"/>
      <c r="F196" s="3"/>
      <c r="G196" s="21"/>
      <c r="H196" s="21"/>
    </row>
    <row r="197" spans="1:8" x14ac:dyDescent="0.25">
      <c r="F197" s="3"/>
      <c r="G197" s="21"/>
      <c r="H197" s="21"/>
    </row>
    <row r="198" spans="1:8" x14ac:dyDescent="0.25">
      <c r="F198" s="3"/>
      <c r="G198" s="21"/>
      <c r="H198" s="21"/>
    </row>
    <row r="199" spans="1:8" x14ac:dyDescent="0.25">
      <c r="F199" s="3"/>
      <c r="G199" s="21"/>
      <c r="H199" s="21"/>
    </row>
    <row r="200" spans="1:8" x14ac:dyDescent="0.25">
      <c r="F200" s="3"/>
      <c r="G200" s="21"/>
      <c r="H200" s="21"/>
    </row>
    <row r="201" spans="1:8" x14ac:dyDescent="0.25">
      <c r="F201" s="3"/>
      <c r="G201" s="21"/>
      <c r="H201" s="21"/>
    </row>
    <row r="202" spans="1:8" x14ac:dyDescent="0.25">
      <c r="F202" s="3"/>
      <c r="G202" s="21"/>
      <c r="H202" s="21"/>
    </row>
    <row r="203" spans="1:8" x14ac:dyDescent="0.25">
      <c r="F203" s="3"/>
      <c r="G203" s="21"/>
      <c r="H203" s="21"/>
    </row>
    <row r="204" spans="1:8" x14ac:dyDescent="0.25">
      <c r="F204" s="3"/>
      <c r="G204" s="21"/>
      <c r="H204" s="21"/>
    </row>
    <row r="205" spans="1:8" x14ac:dyDescent="0.25">
      <c r="F205" s="3"/>
      <c r="G205" s="21"/>
      <c r="H205" s="21"/>
    </row>
    <row r="206" spans="1:8" x14ac:dyDescent="0.25">
      <c r="F206" s="3"/>
      <c r="G206" s="21"/>
      <c r="H206" s="21"/>
    </row>
    <row r="207" spans="1:8" x14ac:dyDescent="0.25">
      <c r="F207" s="3"/>
      <c r="G207" s="21"/>
      <c r="H207" s="21"/>
    </row>
    <row r="208" spans="1:8" x14ac:dyDescent="0.25">
      <c r="F208" s="3"/>
      <c r="G208" s="21"/>
      <c r="H208" s="21"/>
    </row>
    <row r="209" spans="3:8" x14ac:dyDescent="0.25">
      <c r="F209" s="3"/>
      <c r="G209" s="21"/>
      <c r="H209" s="21"/>
    </row>
    <row r="210" spans="3:8" x14ac:dyDescent="0.25">
      <c r="F210" s="3"/>
      <c r="G210" s="21"/>
      <c r="H210" s="21"/>
    </row>
    <row r="211" spans="3:8" x14ac:dyDescent="0.25">
      <c r="F211" s="3"/>
      <c r="G211" s="21"/>
      <c r="H211" s="21"/>
    </row>
    <row r="212" spans="3:8" x14ac:dyDescent="0.25">
      <c r="F212" s="3"/>
      <c r="G212" s="21"/>
      <c r="H212" s="21"/>
    </row>
    <row r="213" spans="3:8" x14ac:dyDescent="0.25">
      <c r="F213" s="3"/>
      <c r="G213" s="21"/>
      <c r="H213" s="21"/>
    </row>
    <row r="214" spans="3:8" x14ac:dyDescent="0.25">
      <c r="F214" s="3"/>
      <c r="G214" s="21"/>
      <c r="H214" s="21"/>
    </row>
    <row r="215" spans="3:8" x14ac:dyDescent="0.25">
      <c r="F215" s="3"/>
      <c r="G215" s="21"/>
      <c r="H215" s="21"/>
    </row>
    <row r="216" spans="3:8" x14ac:dyDescent="0.25">
      <c r="F216" s="3"/>
      <c r="G216" s="21"/>
      <c r="H216" s="21"/>
    </row>
    <row r="217" spans="3:8" x14ac:dyDescent="0.25">
      <c r="F217" s="3"/>
      <c r="G217" s="21"/>
      <c r="H217" s="21"/>
    </row>
    <row r="218" spans="3:8" x14ac:dyDescent="0.25">
      <c r="F218" s="3"/>
      <c r="G218" s="21"/>
      <c r="H218" s="21"/>
    </row>
    <row r="219" spans="3:8" x14ac:dyDescent="0.25">
      <c r="F219" s="3"/>
      <c r="G219" s="21"/>
      <c r="H219" s="21"/>
    </row>
    <row r="220" spans="3:8" x14ac:dyDescent="0.25">
      <c r="F220" s="3"/>
      <c r="G220" s="21"/>
      <c r="H220" s="21"/>
    </row>
    <row r="221" spans="3:8" x14ac:dyDescent="0.25">
      <c r="F221" s="3"/>
      <c r="G221" s="21"/>
      <c r="H221" s="21"/>
    </row>
    <row r="222" spans="3:8" x14ac:dyDescent="0.25">
      <c r="F222" s="3"/>
      <c r="G222" s="21"/>
      <c r="H222" s="21"/>
    </row>
    <row r="223" spans="3:8" x14ac:dyDescent="0.25">
      <c r="F223" s="3"/>
      <c r="G223" s="21"/>
      <c r="H223" s="21"/>
    </row>
    <row r="224" spans="3:8" x14ac:dyDescent="0.25">
      <c r="C224" s="121"/>
      <c r="D224" s="121"/>
      <c r="E224" s="121"/>
      <c r="F224" s="3"/>
      <c r="G224" s="21"/>
      <c r="H224" s="21"/>
    </row>
    <row r="225" spans="1:8" x14ac:dyDescent="0.25">
      <c r="E225" s="121"/>
      <c r="F225" s="3"/>
      <c r="G225" s="21"/>
      <c r="H225" s="21"/>
    </row>
    <row r="226" spans="1:8" x14ac:dyDescent="0.25">
      <c r="F226" s="3"/>
      <c r="G226" s="21"/>
      <c r="H226" s="21"/>
    </row>
    <row r="227" spans="1:8" x14ac:dyDescent="0.25">
      <c r="F227" s="3"/>
      <c r="G227" s="21"/>
      <c r="H227" s="21"/>
    </row>
    <row r="228" spans="1:8" x14ac:dyDescent="0.25">
      <c r="F228" s="3"/>
      <c r="G228" s="21"/>
      <c r="H228" s="21"/>
    </row>
    <row r="229" spans="1:8" x14ac:dyDescent="0.25">
      <c r="F229" s="3"/>
      <c r="G229" s="21"/>
      <c r="H229" s="21"/>
    </row>
    <row r="230" spans="1:8" x14ac:dyDescent="0.25">
      <c r="F230" s="3"/>
      <c r="G230" s="21"/>
      <c r="H230" s="21"/>
    </row>
    <row r="231" spans="1:8" x14ac:dyDescent="0.25">
      <c r="F231" s="3"/>
      <c r="G231" s="21"/>
      <c r="H231" s="21"/>
    </row>
    <row r="232" spans="1:8" x14ac:dyDescent="0.25">
      <c r="F232" s="3"/>
      <c r="G232" s="21"/>
      <c r="H232" s="21"/>
    </row>
    <row r="233" spans="1:8" x14ac:dyDescent="0.25">
      <c r="F233" s="3"/>
      <c r="G233" s="21"/>
      <c r="H233" s="21"/>
    </row>
    <row r="234" spans="1:8" x14ac:dyDescent="0.25">
      <c r="F234" s="3"/>
      <c r="G234" s="21"/>
      <c r="H234" s="21"/>
    </row>
    <row r="235" spans="1:8" x14ac:dyDescent="0.25">
      <c r="F235" s="3"/>
      <c r="G235" s="21"/>
      <c r="H235" s="21"/>
    </row>
    <row r="236" spans="1:8" x14ac:dyDescent="0.25">
      <c r="F236" s="3"/>
      <c r="G236" s="21"/>
      <c r="H236" s="21"/>
    </row>
    <row r="237" spans="1:8" x14ac:dyDescent="0.25">
      <c r="F237" s="3"/>
      <c r="G237" s="21"/>
      <c r="H237" s="21"/>
    </row>
    <row r="238" spans="1:8" x14ac:dyDescent="0.25">
      <c r="F238" s="3"/>
      <c r="G238" s="21"/>
      <c r="H238" s="21"/>
    </row>
    <row r="239" spans="1:8" x14ac:dyDescent="0.25">
      <c r="A239" s="121"/>
      <c r="F239" s="3"/>
      <c r="G239" s="21"/>
      <c r="H239" s="21"/>
    </row>
    <row r="240" spans="1:8" x14ac:dyDescent="0.25">
      <c r="F240" s="3"/>
      <c r="G240" s="21"/>
      <c r="H240" s="21"/>
    </row>
    <row r="241" spans="4:8" x14ac:dyDescent="0.25">
      <c r="F241" s="3"/>
      <c r="G241" s="21"/>
      <c r="H241" s="21"/>
    </row>
    <row r="242" spans="4:8" x14ac:dyDescent="0.25">
      <c r="F242" s="3"/>
      <c r="G242" s="21"/>
      <c r="H242" s="21"/>
    </row>
    <row r="243" spans="4:8" x14ac:dyDescent="0.25">
      <c r="F243" s="3"/>
      <c r="G243" s="21"/>
      <c r="H243" s="21"/>
    </row>
    <row r="244" spans="4:8" x14ac:dyDescent="0.25">
      <c r="F244" s="3"/>
      <c r="G244" s="21"/>
      <c r="H244" s="21"/>
    </row>
    <row r="245" spans="4:8" x14ac:dyDescent="0.25">
      <c r="F245" s="3"/>
      <c r="G245" s="21"/>
      <c r="H245" s="21"/>
    </row>
    <row r="246" spans="4:8" x14ac:dyDescent="0.25">
      <c r="F246" s="3"/>
      <c r="G246" s="21"/>
      <c r="H246" s="21"/>
    </row>
    <row r="247" spans="4:8" x14ac:dyDescent="0.25">
      <c r="F247" s="3"/>
      <c r="G247" s="21"/>
      <c r="H247" s="21"/>
    </row>
    <row r="248" spans="4:8" x14ac:dyDescent="0.25">
      <c r="D248" s="122"/>
      <c r="F248" s="3"/>
      <c r="G248" s="21"/>
      <c r="H248" s="21"/>
    </row>
    <row r="249" spans="4:8" x14ac:dyDescent="0.25">
      <c r="F249" s="3"/>
      <c r="G249" s="21"/>
      <c r="H249" s="21"/>
    </row>
    <row r="250" spans="4:8" x14ac:dyDescent="0.25">
      <c r="F250" s="3"/>
      <c r="G250" s="21"/>
      <c r="H250" s="21"/>
    </row>
    <row r="251" spans="4:8" x14ac:dyDescent="0.25">
      <c r="F251" s="3"/>
      <c r="G251" s="21"/>
      <c r="H251" s="21"/>
    </row>
    <row r="252" spans="4:8" x14ac:dyDescent="0.25">
      <c r="F252" s="3"/>
      <c r="G252" s="21"/>
      <c r="H252" s="21"/>
    </row>
    <row r="253" spans="4:8" x14ac:dyDescent="0.25">
      <c r="F253" s="3"/>
      <c r="G253" s="21"/>
      <c r="H253" s="21"/>
    </row>
    <row r="254" spans="4:8" x14ac:dyDescent="0.25">
      <c r="F254" s="3"/>
      <c r="G254" s="21"/>
      <c r="H254" s="21"/>
    </row>
    <row r="255" spans="4:8" x14ac:dyDescent="0.25">
      <c r="F255" s="3"/>
      <c r="G255" s="21"/>
      <c r="H255" s="21"/>
    </row>
    <row r="256" spans="4:8" x14ac:dyDescent="0.25">
      <c r="F256" s="3"/>
      <c r="G256" s="21"/>
      <c r="H256" s="21"/>
    </row>
    <row r="257" spans="1:8" x14ac:dyDescent="0.25">
      <c r="F257" s="3"/>
      <c r="G257" s="21"/>
      <c r="H257" s="21"/>
    </row>
    <row r="258" spans="1:8" x14ac:dyDescent="0.25">
      <c r="A258" s="121"/>
      <c r="D258" s="121"/>
      <c r="F258" s="3"/>
      <c r="G258" s="21"/>
      <c r="H258" s="21"/>
    </row>
    <row r="259" spans="1:8" x14ac:dyDescent="0.25">
      <c r="F259" s="3"/>
      <c r="G259" s="21"/>
      <c r="H259" s="21"/>
    </row>
    <row r="260" spans="1:8" x14ac:dyDescent="0.25">
      <c r="F260" s="3"/>
      <c r="G260" s="21"/>
      <c r="H260" s="21"/>
    </row>
    <row r="261" spans="1:8" x14ac:dyDescent="0.25">
      <c r="F261" s="3"/>
      <c r="G261" s="21"/>
      <c r="H261" s="21"/>
    </row>
    <row r="262" spans="1:8" x14ac:dyDescent="0.25">
      <c r="F262" s="3"/>
      <c r="G262" s="21"/>
      <c r="H262" s="21"/>
    </row>
    <row r="263" spans="1:8" x14ac:dyDescent="0.25">
      <c r="F263" s="3"/>
      <c r="G263" s="21"/>
      <c r="H263" s="21"/>
    </row>
    <row r="264" spans="1:8" x14ac:dyDescent="0.25">
      <c r="F264" s="3"/>
      <c r="G264" s="21"/>
      <c r="H264" s="21"/>
    </row>
    <row r="265" spans="1:8" x14ac:dyDescent="0.25">
      <c r="F265" s="3"/>
      <c r="G265" s="21"/>
      <c r="H265" s="21"/>
    </row>
    <row r="266" spans="1:8" x14ac:dyDescent="0.25">
      <c r="F266" s="3"/>
      <c r="G266" s="21"/>
      <c r="H266" s="21"/>
    </row>
    <row r="267" spans="1:8" x14ac:dyDescent="0.25">
      <c r="F267" s="3"/>
      <c r="G267" s="21"/>
      <c r="H267" s="21"/>
    </row>
    <row r="268" spans="1:8" x14ac:dyDescent="0.25">
      <c r="F268" s="3"/>
      <c r="G268" s="21"/>
      <c r="H268" s="21"/>
    </row>
    <row r="269" spans="1:8" x14ac:dyDescent="0.25">
      <c r="F269" s="3"/>
      <c r="G269" s="21"/>
      <c r="H269" s="21"/>
    </row>
    <row r="270" spans="1:8" x14ac:dyDescent="0.25">
      <c r="F270" s="3"/>
      <c r="G270" s="21"/>
      <c r="H270" s="21"/>
    </row>
    <row r="271" spans="1:8" x14ac:dyDescent="0.25">
      <c r="F271" s="3"/>
      <c r="G271" s="21"/>
      <c r="H271" s="21"/>
    </row>
    <row r="272" spans="1:8" x14ac:dyDescent="0.25">
      <c r="F272" s="3"/>
      <c r="G272" s="21"/>
      <c r="H272" s="21"/>
    </row>
    <row r="273" spans="6:8" x14ac:dyDescent="0.25">
      <c r="F273" s="3"/>
      <c r="G273" s="21"/>
      <c r="H273" s="21"/>
    </row>
    <row r="274" spans="6:8" x14ac:dyDescent="0.25">
      <c r="F274" s="3"/>
      <c r="G274" s="21"/>
      <c r="H274" s="21"/>
    </row>
    <row r="275" spans="6:8" x14ac:dyDescent="0.25">
      <c r="F275" s="3"/>
      <c r="G275" s="21"/>
      <c r="H275" s="21"/>
    </row>
    <row r="276" spans="6:8" x14ac:dyDescent="0.25">
      <c r="F276" s="3"/>
      <c r="G276" s="21"/>
      <c r="H276" s="21"/>
    </row>
    <row r="277" spans="6:8" x14ac:dyDescent="0.25">
      <c r="F277" s="3"/>
      <c r="G277" s="21"/>
      <c r="H277" s="21"/>
    </row>
    <row r="278" spans="6:8" x14ac:dyDescent="0.25">
      <c r="F278" s="3"/>
      <c r="G278" s="21"/>
      <c r="H278" s="21"/>
    </row>
    <row r="279" spans="6:8" x14ac:dyDescent="0.25">
      <c r="F279" s="3"/>
      <c r="G279" s="21"/>
      <c r="H279" s="21"/>
    </row>
    <row r="280" spans="6:8" x14ac:dyDescent="0.25">
      <c r="F280" s="3"/>
      <c r="G280" s="21"/>
      <c r="H280" s="21"/>
    </row>
    <row r="281" spans="6:8" x14ac:dyDescent="0.25">
      <c r="F281" s="3"/>
      <c r="G281" s="21"/>
      <c r="H281" s="21"/>
    </row>
    <row r="282" spans="6:8" x14ac:dyDescent="0.25">
      <c r="F282" s="3"/>
      <c r="G282" s="21"/>
      <c r="H282" s="21"/>
    </row>
    <row r="283" spans="6:8" x14ac:dyDescent="0.25">
      <c r="F283" s="3"/>
      <c r="G283" s="21"/>
      <c r="H283" s="21"/>
    </row>
    <row r="284" spans="6:8" x14ac:dyDescent="0.25">
      <c r="F284" s="3"/>
      <c r="G284" s="21"/>
      <c r="H284" s="21"/>
    </row>
    <row r="285" spans="6:8" x14ac:dyDescent="0.25">
      <c r="F285" s="3"/>
      <c r="G285" s="21"/>
      <c r="H285" s="21"/>
    </row>
    <row r="286" spans="6:8" x14ac:dyDescent="0.25">
      <c r="F286" s="3"/>
      <c r="G286" s="21"/>
      <c r="H286" s="21"/>
    </row>
    <row r="287" spans="6:8" x14ac:dyDescent="0.25">
      <c r="F287" s="3"/>
      <c r="G287" s="21"/>
      <c r="H287" s="21"/>
    </row>
    <row r="288" spans="6:8" x14ac:dyDescent="0.25">
      <c r="F288" s="3"/>
      <c r="G288" s="21"/>
      <c r="H288" s="21"/>
    </row>
    <row r="289" spans="6:8" x14ac:dyDescent="0.25">
      <c r="F289" s="3"/>
      <c r="G289" s="21"/>
      <c r="H289" s="21"/>
    </row>
    <row r="290" spans="6:8" x14ac:dyDescent="0.25">
      <c r="F290" s="3"/>
      <c r="G290" s="21"/>
      <c r="H290" s="21"/>
    </row>
    <row r="291" spans="6:8" x14ac:dyDescent="0.25">
      <c r="F291" s="3"/>
      <c r="G291" s="21"/>
      <c r="H291" s="21"/>
    </row>
    <row r="292" spans="6:8" x14ac:dyDescent="0.25">
      <c r="F292" s="3"/>
      <c r="G292" s="21"/>
      <c r="H292" s="21"/>
    </row>
    <row r="293" spans="6:8" x14ac:dyDescent="0.25">
      <c r="F293" s="3"/>
      <c r="G293" s="21"/>
      <c r="H293" s="21"/>
    </row>
    <row r="294" spans="6:8" x14ac:dyDescent="0.25">
      <c r="F294" s="3"/>
      <c r="G294" s="21"/>
      <c r="H294" s="21"/>
    </row>
    <row r="295" spans="6:8" x14ac:dyDescent="0.25">
      <c r="F295" s="3"/>
      <c r="G295" s="21"/>
      <c r="H295" s="21"/>
    </row>
    <row r="296" spans="6:8" x14ac:dyDescent="0.25">
      <c r="F296" s="3"/>
      <c r="G296" s="21"/>
      <c r="H296" s="21"/>
    </row>
    <row r="297" spans="6:8" x14ac:dyDescent="0.25">
      <c r="F297" s="3"/>
      <c r="G297" s="21"/>
      <c r="H297" s="21"/>
    </row>
    <row r="298" spans="6:8" x14ac:dyDescent="0.25">
      <c r="F298" s="3"/>
      <c r="G298" s="21"/>
      <c r="H298" s="21"/>
    </row>
    <row r="299" spans="6:8" x14ac:dyDescent="0.25">
      <c r="F299" s="3"/>
      <c r="G299" s="21"/>
      <c r="H299" s="21"/>
    </row>
    <row r="300" spans="6:8" x14ac:dyDescent="0.25">
      <c r="F300" s="3"/>
      <c r="G300" s="21"/>
      <c r="H300" s="21"/>
    </row>
    <row r="301" spans="6:8" x14ac:dyDescent="0.25">
      <c r="F301" s="3"/>
      <c r="G301" s="21"/>
      <c r="H301" s="21"/>
    </row>
    <row r="302" spans="6:8" x14ac:dyDescent="0.25">
      <c r="F302" s="3"/>
      <c r="G302" s="21"/>
      <c r="H302" s="21"/>
    </row>
    <row r="303" spans="6:8" x14ac:dyDescent="0.25">
      <c r="F303" s="3"/>
      <c r="G303" s="21"/>
      <c r="H303" s="21"/>
    </row>
    <row r="304" spans="6:8" x14ac:dyDescent="0.25">
      <c r="F304" s="3"/>
      <c r="G304" s="21"/>
      <c r="H304" s="21"/>
    </row>
    <row r="305" spans="6:8" x14ac:dyDescent="0.25">
      <c r="F305" s="3"/>
      <c r="G305" s="21"/>
      <c r="H305" s="21"/>
    </row>
    <row r="306" spans="6:8" x14ac:dyDescent="0.25">
      <c r="F306" s="3"/>
      <c r="G306" s="21"/>
      <c r="H306" s="21"/>
    </row>
    <row r="307" spans="6:8" x14ac:dyDescent="0.25">
      <c r="F307" s="3"/>
      <c r="G307" s="21"/>
      <c r="H307" s="21"/>
    </row>
    <row r="308" spans="6:8" x14ac:dyDescent="0.25">
      <c r="F308" s="3"/>
      <c r="G308" s="21"/>
      <c r="H308" s="21"/>
    </row>
    <row r="309" spans="6:8" x14ac:dyDescent="0.25">
      <c r="F309" s="3"/>
      <c r="G309" s="21"/>
      <c r="H309" s="21"/>
    </row>
    <row r="310" spans="6:8" x14ac:dyDescent="0.25">
      <c r="F310" s="3"/>
      <c r="G310" s="21"/>
      <c r="H310" s="21"/>
    </row>
    <row r="311" spans="6:8" x14ac:dyDescent="0.25">
      <c r="F311" s="3"/>
      <c r="G311" s="21"/>
      <c r="H311" s="21"/>
    </row>
    <row r="312" spans="6:8" x14ac:dyDescent="0.25">
      <c r="F312" s="3"/>
      <c r="G312" s="21"/>
      <c r="H312" s="21"/>
    </row>
    <row r="313" spans="6:8" x14ac:dyDescent="0.25">
      <c r="F313" s="3"/>
      <c r="G313" s="21"/>
      <c r="H313" s="21"/>
    </row>
    <row r="314" spans="6:8" x14ac:dyDescent="0.25">
      <c r="F314" s="3"/>
      <c r="G314" s="21"/>
      <c r="H314" s="21"/>
    </row>
    <row r="315" spans="6:8" x14ac:dyDescent="0.25">
      <c r="F315" s="3"/>
      <c r="G315" s="21"/>
      <c r="H315" s="21"/>
    </row>
    <row r="316" spans="6:8" x14ac:dyDescent="0.25">
      <c r="F316" s="3"/>
      <c r="G316" s="21"/>
      <c r="H316" s="21"/>
    </row>
    <row r="317" spans="6:8" x14ac:dyDescent="0.25">
      <c r="F317" s="3"/>
      <c r="G317" s="21"/>
      <c r="H317" s="21"/>
    </row>
    <row r="318" spans="6:8" x14ac:dyDescent="0.25">
      <c r="F318" s="3"/>
      <c r="G318" s="21"/>
      <c r="H318" s="21"/>
    </row>
    <row r="319" spans="6:8" x14ac:dyDescent="0.25">
      <c r="F319" s="3"/>
      <c r="G319" s="21"/>
      <c r="H319" s="21"/>
    </row>
    <row r="320" spans="6:8" x14ac:dyDescent="0.25">
      <c r="F320" s="3"/>
      <c r="G320" s="21"/>
      <c r="H320" s="21"/>
    </row>
    <row r="321" spans="6:8" x14ac:dyDescent="0.25">
      <c r="F321" s="3"/>
      <c r="G321" s="21"/>
      <c r="H321" s="21"/>
    </row>
    <row r="322" spans="6:8" x14ac:dyDescent="0.25">
      <c r="F322" s="3"/>
      <c r="G322" s="21"/>
      <c r="H322" s="21"/>
    </row>
    <row r="323" spans="6:8" x14ac:dyDescent="0.25">
      <c r="F323" s="3"/>
      <c r="G323" s="21"/>
      <c r="H323" s="21"/>
    </row>
    <row r="324" spans="6:8" x14ac:dyDescent="0.25">
      <c r="F324" s="3"/>
      <c r="G324" s="21"/>
      <c r="H324" s="21"/>
    </row>
    <row r="325" spans="6:8" x14ac:dyDescent="0.25">
      <c r="F325" s="3"/>
      <c r="G325" s="21"/>
      <c r="H325" s="21"/>
    </row>
    <row r="326" spans="6:8" x14ac:dyDescent="0.25">
      <c r="F326" s="3"/>
      <c r="G326" s="21"/>
      <c r="H326" s="21"/>
    </row>
    <row r="327" spans="6:8" x14ac:dyDescent="0.25">
      <c r="F327" s="3"/>
      <c r="G327" s="21"/>
      <c r="H327" s="21"/>
    </row>
    <row r="328" spans="6:8" x14ac:dyDescent="0.25">
      <c r="F328" s="3"/>
      <c r="G328" s="21"/>
      <c r="H328" s="21"/>
    </row>
    <row r="329" spans="6:8" x14ac:dyDescent="0.25">
      <c r="F329" s="3"/>
      <c r="G329" s="21"/>
      <c r="H329" s="21"/>
    </row>
    <row r="330" spans="6:8" x14ac:dyDescent="0.25">
      <c r="F330" s="3"/>
      <c r="G330" s="21"/>
      <c r="H330" s="21"/>
    </row>
    <row r="331" spans="6:8" x14ac:dyDescent="0.25">
      <c r="F331" s="3"/>
      <c r="G331" s="21"/>
      <c r="H331" s="21"/>
    </row>
    <row r="332" spans="6:8" x14ac:dyDescent="0.25">
      <c r="F332" s="3"/>
      <c r="G332" s="21"/>
      <c r="H332" s="21"/>
    </row>
    <row r="333" spans="6:8" x14ac:dyDescent="0.25">
      <c r="F333" s="3"/>
      <c r="G333" s="21"/>
      <c r="H333" s="21"/>
    </row>
    <row r="334" spans="6:8" x14ac:dyDescent="0.25">
      <c r="F334" s="3"/>
      <c r="G334" s="21"/>
      <c r="H334" s="21"/>
    </row>
    <row r="335" spans="6:8" x14ac:dyDescent="0.25">
      <c r="F335" s="3"/>
      <c r="G335" s="21"/>
      <c r="H335" s="21"/>
    </row>
    <row r="336" spans="6:8" x14ac:dyDescent="0.25">
      <c r="F336" s="3"/>
      <c r="G336" s="21"/>
      <c r="H336" s="21"/>
    </row>
    <row r="337" spans="6:8" x14ac:dyDescent="0.25">
      <c r="F337" s="3"/>
      <c r="G337" s="21"/>
      <c r="H337" s="21"/>
    </row>
    <row r="338" spans="6:8" x14ac:dyDescent="0.25">
      <c r="F338" s="3"/>
      <c r="G338" s="21"/>
      <c r="H338" s="21"/>
    </row>
    <row r="339" spans="6:8" x14ac:dyDescent="0.25">
      <c r="F339" s="3"/>
      <c r="G339" s="21"/>
      <c r="H339" s="21"/>
    </row>
    <row r="340" spans="6:8" x14ac:dyDescent="0.25">
      <c r="F340" s="3"/>
      <c r="G340" s="21"/>
      <c r="H340" s="21"/>
    </row>
    <row r="341" spans="6:8" x14ac:dyDescent="0.25">
      <c r="F341" s="3"/>
      <c r="G341" s="21"/>
      <c r="H341" s="21"/>
    </row>
    <row r="342" spans="6:8" x14ac:dyDescent="0.25">
      <c r="F342" s="3"/>
      <c r="G342" s="21"/>
      <c r="H342" s="21"/>
    </row>
    <row r="343" spans="6:8" x14ac:dyDescent="0.25">
      <c r="F343" s="3"/>
      <c r="G343" s="21"/>
      <c r="H343" s="21"/>
    </row>
    <row r="344" spans="6:8" x14ac:dyDescent="0.25">
      <c r="F344" s="3"/>
      <c r="G344" s="21"/>
      <c r="H344" s="21"/>
    </row>
    <row r="345" spans="6:8" x14ac:dyDescent="0.25">
      <c r="F345" s="3"/>
      <c r="G345" s="21"/>
      <c r="H345" s="21"/>
    </row>
    <row r="346" spans="6:8" x14ac:dyDescent="0.25">
      <c r="F346" s="3"/>
      <c r="G346" s="21"/>
      <c r="H346" s="21"/>
    </row>
    <row r="347" spans="6:8" x14ac:dyDescent="0.25">
      <c r="F347" s="3"/>
      <c r="G347" s="21"/>
      <c r="H347" s="21"/>
    </row>
    <row r="348" spans="6:8" x14ac:dyDescent="0.25">
      <c r="F348" s="3"/>
      <c r="G348" s="21"/>
      <c r="H348" s="21"/>
    </row>
    <row r="349" spans="6:8" x14ac:dyDescent="0.25">
      <c r="F349" s="3"/>
      <c r="G349" s="21"/>
      <c r="H349" s="21"/>
    </row>
    <row r="350" spans="6:8" x14ac:dyDescent="0.25">
      <c r="F350" s="3"/>
      <c r="G350" s="21"/>
      <c r="H350" s="21"/>
    </row>
    <row r="351" spans="6:8" x14ac:dyDescent="0.25">
      <c r="F351" s="3"/>
      <c r="G351" s="21"/>
      <c r="H351" s="21"/>
    </row>
    <row r="352" spans="6:8" x14ac:dyDescent="0.25">
      <c r="F352" s="3"/>
      <c r="G352" s="21"/>
      <c r="H352" s="21"/>
    </row>
    <row r="353" spans="6:8" x14ac:dyDescent="0.25">
      <c r="F353" s="3"/>
      <c r="G353" s="21"/>
      <c r="H353" s="21"/>
    </row>
    <row r="354" spans="6:8" x14ac:dyDescent="0.25">
      <c r="F354" s="3"/>
      <c r="G354" s="21"/>
      <c r="H354" s="21"/>
    </row>
    <row r="355" spans="6:8" x14ac:dyDescent="0.25">
      <c r="F355" s="3"/>
      <c r="G355" s="21"/>
      <c r="H355" s="21"/>
    </row>
    <row r="356" spans="6:8" x14ac:dyDescent="0.25">
      <c r="F356" s="3"/>
      <c r="G356" s="21"/>
      <c r="H356" s="21"/>
    </row>
    <row r="357" spans="6:8" x14ac:dyDescent="0.25">
      <c r="F357" s="3"/>
      <c r="G357" s="21"/>
      <c r="H357" s="21"/>
    </row>
    <row r="358" spans="6:8" x14ac:dyDescent="0.25">
      <c r="F358" s="3"/>
      <c r="G358" s="21"/>
      <c r="H358" s="21"/>
    </row>
    <row r="359" spans="6:8" x14ac:dyDescent="0.25">
      <c r="F359" s="3"/>
      <c r="G359" s="21"/>
      <c r="H359" s="21"/>
    </row>
    <row r="360" spans="6:8" x14ac:dyDescent="0.25">
      <c r="F360" s="3"/>
      <c r="G360" s="21"/>
      <c r="H360" s="21"/>
    </row>
    <row r="361" spans="6:8" x14ac:dyDescent="0.25">
      <c r="F361" s="3"/>
      <c r="G361" s="21"/>
      <c r="H361" s="21"/>
    </row>
    <row r="362" spans="6:8" x14ac:dyDescent="0.25">
      <c r="F362" s="3"/>
      <c r="G362" s="21"/>
      <c r="H362" s="21"/>
    </row>
    <row r="363" spans="6:8" x14ac:dyDescent="0.25">
      <c r="F363" s="3"/>
      <c r="G363" s="21"/>
      <c r="H363" s="21"/>
    </row>
    <row r="364" spans="6:8" x14ac:dyDescent="0.25">
      <c r="F364" s="3"/>
      <c r="G364" s="21"/>
      <c r="H364" s="21"/>
    </row>
    <row r="365" spans="6:8" x14ac:dyDescent="0.25">
      <c r="F365" s="3"/>
      <c r="G365" s="21"/>
      <c r="H365" s="21"/>
    </row>
    <row r="366" spans="6:8" x14ac:dyDescent="0.25">
      <c r="F366" s="3"/>
      <c r="G366" s="21"/>
      <c r="H366" s="21"/>
    </row>
    <row r="367" spans="6:8" x14ac:dyDescent="0.25">
      <c r="F367" s="3"/>
      <c r="G367" s="21"/>
      <c r="H367" s="21"/>
    </row>
    <row r="368" spans="6:8" x14ac:dyDescent="0.25">
      <c r="F368" s="3"/>
      <c r="G368" s="21"/>
      <c r="H368" s="21"/>
    </row>
    <row r="369" spans="6:8" x14ac:dyDescent="0.25">
      <c r="F369" s="3"/>
      <c r="G369" s="21"/>
      <c r="H369" s="21"/>
    </row>
    <row r="370" spans="6:8" x14ac:dyDescent="0.25">
      <c r="F370" s="3"/>
      <c r="G370" s="21"/>
      <c r="H370" s="21"/>
    </row>
    <row r="371" spans="6:8" x14ac:dyDescent="0.25">
      <c r="F371" s="3"/>
      <c r="G371" s="21"/>
      <c r="H371" s="21"/>
    </row>
    <row r="372" spans="6:8" x14ac:dyDescent="0.25">
      <c r="F372" s="3"/>
      <c r="G372" s="21"/>
      <c r="H372" s="21"/>
    </row>
    <row r="373" spans="6:8" x14ac:dyDescent="0.25">
      <c r="F373" s="3"/>
      <c r="G373" s="21"/>
      <c r="H373" s="21"/>
    </row>
    <row r="374" spans="6:8" x14ac:dyDescent="0.25">
      <c r="F374" s="3"/>
      <c r="G374" s="21"/>
      <c r="H374" s="21"/>
    </row>
    <row r="375" spans="6:8" x14ac:dyDescent="0.25">
      <c r="F375" s="3"/>
      <c r="G375" s="21"/>
      <c r="H375" s="21"/>
    </row>
    <row r="376" spans="6:8" x14ac:dyDescent="0.25">
      <c r="F376" s="3"/>
      <c r="G376" s="21"/>
      <c r="H376" s="21"/>
    </row>
    <row r="377" spans="6:8" x14ac:dyDescent="0.25">
      <c r="F377" s="3"/>
      <c r="G377" s="21"/>
      <c r="H377" s="21"/>
    </row>
    <row r="378" spans="6:8" x14ac:dyDescent="0.25">
      <c r="F378" s="3"/>
      <c r="G378" s="21"/>
      <c r="H378" s="21"/>
    </row>
    <row r="379" spans="6:8" x14ac:dyDescent="0.25">
      <c r="F379" s="3"/>
      <c r="G379" s="21"/>
      <c r="H379" s="21"/>
    </row>
    <row r="380" spans="6:8" x14ac:dyDescent="0.25">
      <c r="F380" s="3"/>
      <c r="G380" s="21"/>
      <c r="H380" s="21"/>
    </row>
    <row r="381" spans="6:8" x14ac:dyDescent="0.25">
      <c r="F381" s="3"/>
      <c r="G381" s="21"/>
      <c r="H381" s="21"/>
    </row>
    <row r="382" spans="6:8" x14ac:dyDescent="0.25">
      <c r="F382" s="3"/>
      <c r="G382" s="21"/>
      <c r="H382" s="21"/>
    </row>
    <row r="383" spans="6:8" x14ac:dyDescent="0.25">
      <c r="F383" s="3"/>
      <c r="G383" s="21"/>
      <c r="H383" s="21"/>
    </row>
    <row r="384" spans="6:8" x14ac:dyDescent="0.25">
      <c r="F384" s="3"/>
      <c r="G384" s="21"/>
      <c r="H384" s="21"/>
    </row>
    <row r="385" spans="6:8" x14ac:dyDescent="0.25">
      <c r="F385" s="3"/>
      <c r="G385" s="21"/>
      <c r="H385" s="21"/>
    </row>
    <row r="386" spans="6:8" x14ac:dyDescent="0.25">
      <c r="F386" s="3"/>
      <c r="G386" s="21"/>
      <c r="H386" s="21"/>
    </row>
    <row r="387" spans="6:8" x14ac:dyDescent="0.25">
      <c r="F387" s="3"/>
      <c r="G387" s="21"/>
      <c r="H387" s="21"/>
    </row>
    <row r="388" spans="6:8" x14ac:dyDescent="0.25">
      <c r="F388" s="3"/>
      <c r="G388" s="21"/>
      <c r="H388" s="21"/>
    </row>
    <row r="389" spans="6:8" x14ac:dyDescent="0.25">
      <c r="F389" s="3"/>
      <c r="G389" s="21"/>
      <c r="H389" s="21"/>
    </row>
    <row r="390" spans="6:8" x14ac:dyDescent="0.25">
      <c r="F390" s="3"/>
      <c r="G390" s="21"/>
      <c r="H390" s="21"/>
    </row>
    <row r="391" spans="6:8" x14ac:dyDescent="0.25">
      <c r="F391" s="3"/>
      <c r="G391" s="21"/>
      <c r="H391" s="21"/>
    </row>
    <row r="392" spans="6:8" x14ac:dyDescent="0.25">
      <c r="F392" s="3"/>
      <c r="G392" s="21"/>
      <c r="H392" s="21"/>
    </row>
    <row r="393" spans="6:8" x14ac:dyDescent="0.25">
      <c r="F393" s="3"/>
      <c r="G393" s="21"/>
      <c r="H393" s="21"/>
    </row>
    <row r="394" spans="6:8" x14ac:dyDescent="0.25">
      <c r="F394" s="3"/>
      <c r="G394" s="21"/>
      <c r="H394" s="21"/>
    </row>
    <row r="395" spans="6:8" x14ac:dyDescent="0.25">
      <c r="F395" s="3"/>
      <c r="G395" s="21"/>
      <c r="H395" s="21"/>
    </row>
    <row r="396" spans="6:8" x14ac:dyDescent="0.25">
      <c r="F396" s="3"/>
      <c r="G396" s="21"/>
      <c r="H396" s="21"/>
    </row>
    <row r="397" spans="6:8" x14ac:dyDescent="0.25">
      <c r="F397" s="3"/>
      <c r="G397" s="21"/>
      <c r="H397" s="21"/>
    </row>
    <row r="398" spans="6:8" x14ac:dyDescent="0.25">
      <c r="F398" s="3"/>
      <c r="G398" s="21"/>
      <c r="H398" s="21"/>
    </row>
    <row r="399" spans="6:8" x14ac:dyDescent="0.25">
      <c r="F399" s="3"/>
      <c r="G399" s="21"/>
      <c r="H399" s="21"/>
    </row>
    <row r="400" spans="6:8" x14ac:dyDescent="0.25">
      <c r="F400" s="3"/>
      <c r="G400" s="21"/>
      <c r="H400" s="21"/>
    </row>
    <row r="401" spans="6:8" x14ac:dyDescent="0.25">
      <c r="F401" s="3"/>
      <c r="G401" s="21"/>
      <c r="H401" s="21"/>
    </row>
    <row r="402" spans="6:8" x14ac:dyDescent="0.25">
      <c r="F402" s="3"/>
      <c r="G402" s="21"/>
      <c r="H402" s="21"/>
    </row>
    <row r="403" spans="6:8" x14ac:dyDescent="0.25">
      <c r="F403" s="3"/>
      <c r="G403" s="21"/>
      <c r="H403" s="21"/>
    </row>
    <row r="404" spans="6:8" x14ac:dyDescent="0.25">
      <c r="F404" s="3"/>
      <c r="G404" s="21"/>
      <c r="H404" s="21"/>
    </row>
    <row r="405" spans="6:8" x14ac:dyDescent="0.25">
      <c r="F405" s="3"/>
      <c r="G405" s="21"/>
      <c r="H405" s="21"/>
    </row>
    <row r="406" spans="6:8" x14ac:dyDescent="0.25">
      <c r="F406" s="3"/>
      <c r="G406" s="21"/>
      <c r="H406" s="21"/>
    </row>
    <row r="407" spans="6:8" x14ac:dyDescent="0.25">
      <c r="F407" s="3"/>
      <c r="G407" s="21"/>
      <c r="H407" s="21"/>
    </row>
    <row r="408" spans="6:8" x14ac:dyDescent="0.25">
      <c r="F408" s="3"/>
      <c r="G408" s="21"/>
      <c r="H408" s="21"/>
    </row>
    <row r="409" spans="6:8" x14ac:dyDescent="0.25">
      <c r="F409" s="3"/>
      <c r="G409" s="21"/>
      <c r="H409" s="21"/>
    </row>
    <row r="410" spans="6:8" x14ac:dyDescent="0.25">
      <c r="F410" s="3"/>
      <c r="G410" s="21"/>
      <c r="H410" s="21"/>
    </row>
    <row r="411" spans="6:8" x14ac:dyDescent="0.25">
      <c r="F411" s="3"/>
      <c r="G411" s="21"/>
      <c r="H411" s="21"/>
    </row>
    <row r="412" spans="6:8" x14ac:dyDescent="0.25">
      <c r="F412" s="3"/>
      <c r="G412" s="21"/>
      <c r="H412" s="21"/>
    </row>
    <row r="413" spans="6:8" x14ac:dyDescent="0.25">
      <c r="F413" s="3"/>
      <c r="G413" s="21"/>
      <c r="H413" s="21"/>
    </row>
    <row r="414" spans="6:8" x14ac:dyDescent="0.25">
      <c r="F414" s="3"/>
      <c r="G414" s="21"/>
      <c r="H414" s="21"/>
    </row>
    <row r="415" spans="6:8" x14ac:dyDescent="0.25">
      <c r="F415" s="3"/>
      <c r="G415" s="21"/>
      <c r="H415" s="21"/>
    </row>
    <row r="416" spans="6:8" x14ac:dyDescent="0.25">
      <c r="F416" s="3"/>
      <c r="G416" s="21"/>
      <c r="H416" s="21"/>
    </row>
    <row r="417" spans="6:8" x14ac:dyDescent="0.25">
      <c r="F417" s="3"/>
      <c r="G417" s="21"/>
      <c r="H417" s="21"/>
    </row>
    <row r="418" spans="6:8" x14ac:dyDescent="0.25">
      <c r="F418" s="3"/>
      <c r="G418" s="21"/>
      <c r="H418" s="21"/>
    </row>
    <row r="419" spans="6:8" x14ac:dyDescent="0.25">
      <c r="F419" s="3"/>
      <c r="G419" s="21"/>
      <c r="H419" s="21"/>
    </row>
    <row r="420" spans="6:8" x14ac:dyDescent="0.25">
      <c r="F420" s="3"/>
      <c r="G420" s="21"/>
      <c r="H420" s="21"/>
    </row>
    <row r="421" spans="6:8" x14ac:dyDescent="0.25">
      <c r="F421" s="3"/>
      <c r="G421" s="21"/>
      <c r="H421" s="21"/>
    </row>
    <row r="422" spans="6:8" x14ac:dyDescent="0.25">
      <c r="F422" s="3"/>
      <c r="G422" s="21"/>
      <c r="H422" s="21"/>
    </row>
    <row r="423" spans="6:8" x14ac:dyDescent="0.25">
      <c r="F423" s="3"/>
      <c r="G423" s="21"/>
      <c r="H423" s="21"/>
    </row>
    <row r="424" spans="6:8" x14ac:dyDescent="0.25">
      <c r="F424" s="3"/>
      <c r="G424" s="21"/>
      <c r="H424" s="21"/>
    </row>
    <row r="425" spans="6:8" x14ac:dyDescent="0.25">
      <c r="F425" s="3"/>
      <c r="G425" s="21"/>
      <c r="H425" s="21"/>
    </row>
    <row r="426" spans="6:8" x14ac:dyDescent="0.25">
      <c r="F426" s="3"/>
      <c r="G426" s="21"/>
      <c r="H426" s="21"/>
    </row>
    <row r="427" spans="6:8" x14ac:dyDescent="0.25">
      <c r="F427" s="3"/>
      <c r="G427" s="21"/>
      <c r="H427" s="21"/>
    </row>
    <row r="428" spans="6:8" x14ac:dyDescent="0.25">
      <c r="F428" s="3"/>
      <c r="G428" s="21"/>
      <c r="H428" s="21"/>
    </row>
    <row r="429" spans="6:8" x14ac:dyDescent="0.25">
      <c r="F429" s="3"/>
      <c r="G429" s="21"/>
      <c r="H429" s="21"/>
    </row>
    <row r="430" spans="6:8" x14ac:dyDescent="0.25">
      <c r="F430" s="3"/>
      <c r="G430" s="21"/>
      <c r="H430" s="21"/>
    </row>
    <row r="431" spans="6:8" x14ac:dyDescent="0.25">
      <c r="F431" s="3"/>
      <c r="G431" s="21"/>
      <c r="H431" s="21"/>
    </row>
    <row r="432" spans="6:8" x14ac:dyDescent="0.25">
      <c r="F432" s="3"/>
      <c r="G432" s="21"/>
      <c r="H432" s="21"/>
    </row>
    <row r="433" spans="6:8" x14ac:dyDescent="0.25">
      <c r="F433" s="3"/>
      <c r="G433" s="21"/>
      <c r="H433" s="21"/>
    </row>
    <row r="434" spans="6:8" x14ac:dyDescent="0.25">
      <c r="F434" s="3"/>
      <c r="G434" s="21"/>
      <c r="H434" s="21"/>
    </row>
    <row r="435" spans="6:8" x14ac:dyDescent="0.25">
      <c r="F435" s="3"/>
      <c r="G435" s="21"/>
      <c r="H435" s="21"/>
    </row>
    <row r="436" spans="6:8" x14ac:dyDescent="0.25">
      <c r="F436" s="3"/>
      <c r="G436" s="21"/>
      <c r="H436" s="21"/>
    </row>
    <row r="437" spans="6:8" x14ac:dyDescent="0.25">
      <c r="F437" s="3"/>
      <c r="G437" s="21"/>
      <c r="H437" s="21"/>
    </row>
    <row r="438" spans="6:8" x14ac:dyDescent="0.25">
      <c r="F438" s="3"/>
      <c r="G438" s="21"/>
      <c r="H438" s="21"/>
    </row>
    <row r="439" spans="6:8" x14ac:dyDescent="0.25">
      <c r="F439" s="3"/>
      <c r="G439" s="21"/>
      <c r="H439" s="21"/>
    </row>
    <row r="440" spans="6:8" x14ac:dyDescent="0.25">
      <c r="F440" s="3"/>
      <c r="G440" s="21"/>
      <c r="H440" s="21"/>
    </row>
    <row r="441" spans="6:8" x14ac:dyDescent="0.25">
      <c r="F441" s="3"/>
      <c r="G441" s="21"/>
      <c r="H441" s="21"/>
    </row>
    <row r="442" spans="6:8" x14ac:dyDescent="0.25">
      <c r="F442" s="3"/>
      <c r="G442" s="21"/>
      <c r="H442" s="21"/>
    </row>
    <row r="443" spans="6:8" x14ac:dyDescent="0.25">
      <c r="F443" s="3"/>
      <c r="G443" s="21"/>
      <c r="H443" s="21"/>
    </row>
    <row r="444" spans="6:8" x14ac:dyDescent="0.25">
      <c r="F444" s="3"/>
      <c r="G444" s="21"/>
      <c r="H444" s="21"/>
    </row>
    <row r="445" spans="6:8" x14ac:dyDescent="0.25">
      <c r="F445" s="3"/>
      <c r="G445" s="21"/>
      <c r="H445" s="21"/>
    </row>
    <row r="446" spans="6:8" x14ac:dyDescent="0.25">
      <c r="F446" s="3"/>
      <c r="G446" s="21"/>
      <c r="H446" s="21"/>
    </row>
    <row r="447" spans="6:8" x14ac:dyDescent="0.25">
      <c r="F447" s="3"/>
      <c r="G447" s="21"/>
      <c r="H447" s="21"/>
    </row>
    <row r="448" spans="6:8" x14ac:dyDescent="0.25">
      <c r="F448" s="3"/>
      <c r="G448" s="21"/>
      <c r="H448" s="21"/>
    </row>
    <row r="449" spans="6:8" x14ac:dyDescent="0.25">
      <c r="F449" s="3"/>
      <c r="G449" s="21"/>
      <c r="H449" s="21"/>
    </row>
    <row r="450" spans="6:8" x14ac:dyDescent="0.25">
      <c r="F450" s="3"/>
      <c r="G450" s="21"/>
      <c r="H450" s="21"/>
    </row>
    <row r="451" spans="6:8" x14ac:dyDescent="0.25">
      <c r="F451" s="3"/>
      <c r="G451" s="21"/>
      <c r="H451" s="21"/>
    </row>
    <row r="452" spans="6:8" x14ac:dyDescent="0.25">
      <c r="F452" s="3"/>
      <c r="G452" s="21"/>
      <c r="H452" s="21"/>
    </row>
    <row r="453" spans="6:8" x14ac:dyDescent="0.25">
      <c r="F453" s="3"/>
      <c r="G453" s="21"/>
      <c r="H453" s="21"/>
    </row>
    <row r="454" spans="6:8" x14ac:dyDescent="0.25">
      <c r="F454" s="3"/>
      <c r="G454" s="21"/>
      <c r="H454" s="21"/>
    </row>
    <row r="455" spans="6:8" x14ac:dyDescent="0.25">
      <c r="F455" s="3"/>
      <c r="G455" s="21"/>
      <c r="H455" s="21"/>
    </row>
    <row r="456" spans="6:8" x14ac:dyDescent="0.25">
      <c r="F456" s="3"/>
      <c r="G456" s="21"/>
      <c r="H456" s="21"/>
    </row>
    <row r="457" spans="6:8" x14ac:dyDescent="0.25">
      <c r="F457" s="3"/>
      <c r="G457" s="21"/>
      <c r="H457" s="21"/>
    </row>
    <row r="458" spans="6:8" x14ac:dyDescent="0.25">
      <c r="F458" s="3"/>
      <c r="G458" s="21"/>
      <c r="H458" s="21"/>
    </row>
    <row r="459" spans="6:8" x14ac:dyDescent="0.25">
      <c r="F459" s="3"/>
      <c r="G459" s="21"/>
      <c r="H459" s="21"/>
    </row>
    <row r="460" spans="6:8" x14ac:dyDescent="0.25">
      <c r="F460" s="3"/>
      <c r="G460" s="21"/>
      <c r="H460" s="21"/>
    </row>
    <row r="461" spans="6:8" x14ac:dyDescent="0.25">
      <c r="F461" s="3"/>
      <c r="G461" s="21"/>
      <c r="H461" s="21"/>
    </row>
    <row r="462" spans="6:8" x14ac:dyDescent="0.25">
      <c r="F462" s="3"/>
      <c r="G462" s="21"/>
      <c r="H462" s="21"/>
    </row>
    <row r="463" spans="6:8" x14ac:dyDescent="0.25">
      <c r="F463" s="3"/>
      <c r="G463" s="21"/>
      <c r="H463" s="21"/>
    </row>
    <row r="464" spans="6:8" x14ac:dyDescent="0.25">
      <c r="F464" s="3"/>
      <c r="G464" s="21"/>
      <c r="H464" s="21"/>
    </row>
    <row r="465" spans="6:8" x14ac:dyDescent="0.25">
      <c r="F465" s="3"/>
      <c r="G465" s="21"/>
      <c r="H465" s="21"/>
    </row>
    <row r="466" spans="6:8" x14ac:dyDescent="0.25">
      <c r="F466" s="3"/>
      <c r="G466" s="21"/>
      <c r="H466" s="21"/>
    </row>
    <row r="467" spans="6:8" x14ac:dyDescent="0.25">
      <c r="F467" s="3"/>
      <c r="G467" s="21"/>
      <c r="H467" s="21"/>
    </row>
    <row r="468" spans="6:8" x14ac:dyDescent="0.25">
      <c r="F468" s="3"/>
      <c r="G468" s="21"/>
      <c r="H468" s="21"/>
    </row>
    <row r="469" spans="6:8" x14ac:dyDescent="0.25">
      <c r="F469" s="3"/>
      <c r="G469" s="21"/>
      <c r="H469" s="21"/>
    </row>
    <row r="470" spans="6:8" x14ac:dyDescent="0.25">
      <c r="F470" s="3"/>
      <c r="G470" s="21"/>
      <c r="H470" s="21"/>
    </row>
    <row r="471" spans="6:8" x14ac:dyDescent="0.25">
      <c r="F471" s="3"/>
      <c r="G471" s="21"/>
      <c r="H471" s="21"/>
    </row>
    <row r="472" spans="6:8" x14ac:dyDescent="0.25">
      <c r="F472" s="3"/>
      <c r="G472" s="21"/>
      <c r="H472" s="21"/>
    </row>
    <row r="473" spans="6:8" x14ac:dyDescent="0.25">
      <c r="F473" s="3"/>
      <c r="G473" s="21"/>
      <c r="H473" s="21"/>
    </row>
    <row r="474" spans="6:8" x14ac:dyDescent="0.25">
      <c r="F474" s="3"/>
      <c r="G474" s="21"/>
      <c r="H474" s="21"/>
    </row>
    <row r="475" spans="6:8" x14ac:dyDescent="0.25">
      <c r="F475" s="3"/>
      <c r="G475" s="21"/>
      <c r="H475" s="21"/>
    </row>
    <row r="476" spans="6:8" x14ac:dyDescent="0.25">
      <c r="F476" s="3"/>
      <c r="G476" s="21"/>
      <c r="H476" s="21"/>
    </row>
    <row r="477" spans="6:8" x14ac:dyDescent="0.25">
      <c r="F477" s="3"/>
      <c r="G477" s="21"/>
      <c r="H477" s="21"/>
    </row>
    <row r="478" spans="6:8" x14ac:dyDescent="0.25">
      <c r="F478" s="3"/>
      <c r="G478" s="21"/>
      <c r="H478" s="21"/>
    </row>
    <row r="479" spans="6:8" x14ac:dyDescent="0.25">
      <c r="F479" s="3"/>
      <c r="G479" s="21"/>
      <c r="H479" s="21"/>
    </row>
    <row r="480" spans="6:8" x14ac:dyDescent="0.25">
      <c r="F480" s="3"/>
      <c r="G480" s="21"/>
      <c r="H480" s="21"/>
    </row>
    <row r="481" spans="6:8" x14ac:dyDescent="0.25">
      <c r="F481" s="3"/>
      <c r="G481" s="21"/>
      <c r="H481" s="21"/>
    </row>
    <row r="482" spans="6:8" x14ac:dyDescent="0.25">
      <c r="F482" s="3"/>
      <c r="G482" s="21"/>
      <c r="H482" s="21"/>
    </row>
    <row r="483" spans="6:8" x14ac:dyDescent="0.25">
      <c r="F483" s="3"/>
      <c r="G483" s="21"/>
      <c r="H483" s="21"/>
    </row>
    <row r="484" spans="6:8" x14ac:dyDescent="0.25">
      <c r="F484" s="3"/>
      <c r="G484" s="21"/>
      <c r="H484" s="21"/>
    </row>
    <row r="485" spans="6:8" x14ac:dyDescent="0.25">
      <c r="F485" s="3"/>
      <c r="G485" s="21"/>
      <c r="H485" s="21"/>
    </row>
    <row r="486" spans="6:8" x14ac:dyDescent="0.25">
      <c r="F486" s="3"/>
      <c r="G486" s="21"/>
      <c r="H486" s="21"/>
    </row>
    <row r="487" spans="6:8" x14ac:dyDescent="0.25">
      <c r="F487" s="3"/>
      <c r="G487" s="21"/>
      <c r="H487" s="21"/>
    </row>
    <row r="488" spans="6:8" x14ac:dyDescent="0.25">
      <c r="F488" s="3"/>
      <c r="G488" s="21"/>
      <c r="H488" s="21"/>
    </row>
    <row r="489" spans="6:8" x14ac:dyDescent="0.25">
      <c r="F489" s="3"/>
      <c r="G489" s="21"/>
      <c r="H489" s="21"/>
    </row>
    <row r="490" spans="6:8" x14ac:dyDescent="0.25">
      <c r="F490" s="3"/>
      <c r="G490" s="21"/>
      <c r="H490" s="21"/>
    </row>
    <row r="491" spans="6:8" x14ac:dyDescent="0.25">
      <c r="F491" s="3"/>
      <c r="G491" s="21"/>
      <c r="H491" s="21"/>
    </row>
    <row r="492" spans="6:8" x14ac:dyDescent="0.25">
      <c r="F492" s="3"/>
      <c r="G492" s="21"/>
      <c r="H492" s="21"/>
    </row>
    <row r="493" spans="6:8" x14ac:dyDescent="0.25">
      <c r="F493" s="3"/>
      <c r="G493" s="21"/>
      <c r="H493" s="21"/>
    </row>
    <row r="494" spans="6:8" x14ac:dyDescent="0.25">
      <c r="F494" s="3"/>
      <c r="G494" s="21"/>
      <c r="H494" s="21"/>
    </row>
    <row r="495" spans="6:8" x14ac:dyDescent="0.25">
      <c r="F495" s="3"/>
      <c r="G495" s="21"/>
      <c r="H495" s="21"/>
    </row>
    <row r="496" spans="6:8" x14ac:dyDescent="0.25">
      <c r="F496" s="3"/>
      <c r="G496" s="21"/>
      <c r="H496" s="21"/>
    </row>
    <row r="497" spans="6:8" x14ac:dyDescent="0.25">
      <c r="F497" s="3"/>
      <c r="G497" s="21"/>
      <c r="H497" s="21"/>
    </row>
    <row r="498" spans="6:8" x14ac:dyDescent="0.25">
      <c r="F498" s="3"/>
      <c r="G498" s="21"/>
      <c r="H498" s="21"/>
    </row>
    <row r="499" spans="6:8" x14ac:dyDescent="0.25">
      <c r="F499" s="3"/>
      <c r="G499" s="21"/>
      <c r="H499" s="21"/>
    </row>
    <row r="500" spans="6:8" x14ac:dyDescent="0.25">
      <c r="F500" s="3"/>
      <c r="G500" s="21"/>
      <c r="H500" s="21"/>
    </row>
    <row r="501" spans="6:8" x14ac:dyDescent="0.25">
      <c r="F501" s="3"/>
      <c r="G501" s="21"/>
      <c r="H501" s="21"/>
    </row>
    <row r="502" spans="6:8" x14ac:dyDescent="0.25">
      <c r="F502" s="3"/>
      <c r="G502" s="21"/>
      <c r="H502" s="21"/>
    </row>
    <row r="503" spans="6:8" x14ac:dyDescent="0.25">
      <c r="F503" s="3"/>
      <c r="G503" s="21"/>
      <c r="H503" s="21"/>
    </row>
    <row r="504" spans="6:8" x14ac:dyDescent="0.25">
      <c r="F504" s="3"/>
      <c r="G504" s="21"/>
      <c r="H504" s="21"/>
    </row>
    <row r="505" spans="6:8" x14ac:dyDescent="0.25">
      <c r="F505" s="3"/>
      <c r="G505" s="21"/>
      <c r="H505" s="21"/>
    </row>
    <row r="506" spans="6:8" x14ac:dyDescent="0.25">
      <c r="F506" s="3"/>
      <c r="G506" s="21"/>
      <c r="H506" s="21"/>
    </row>
    <row r="507" spans="6:8" x14ac:dyDescent="0.25">
      <c r="F507" s="3"/>
      <c r="G507" s="21"/>
      <c r="H507" s="21"/>
    </row>
    <row r="508" spans="6:8" x14ac:dyDescent="0.25">
      <c r="F508" s="3"/>
      <c r="G508" s="21"/>
      <c r="H508" s="21"/>
    </row>
    <row r="509" spans="6:8" x14ac:dyDescent="0.25">
      <c r="F509" s="3"/>
      <c r="G509" s="21"/>
      <c r="H509" s="21"/>
    </row>
    <row r="510" spans="6:8" x14ac:dyDescent="0.25">
      <c r="F510" s="3"/>
      <c r="G510" s="21"/>
      <c r="H510" s="21"/>
    </row>
    <row r="511" spans="6:8" x14ac:dyDescent="0.25">
      <c r="F511" s="3"/>
      <c r="G511" s="21"/>
      <c r="H511" s="21"/>
    </row>
    <row r="512" spans="6:8" x14ac:dyDescent="0.25">
      <c r="F512" s="3"/>
      <c r="G512" s="21"/>
      <c r="H512" s="21"/>
    </row>
    <row r="513" spans="6:8" x14ac:dyDescent="0.25">
      <c r="F513" s="3"/>
      <c r="G513" s="21"/>
      <c r="H513" s="21"/>
    </row>
    <row r="514" spans="6:8" x14ac:dyDescent="0.25">
      <c r="F514" s="3"/>
      <c r="G514" s="21"/>
      <c r="H514" s="21"/>
    </row>
    <row r="515" spans="6:8" x14ac:dyDescent="0.25">
      <c r="F515" s="3"/>
      <c r="G515" s="21"/>
      <c r="H515" s="21"/>
    </row>
    <row r="516" spans="6:8" x14ac:dyDescent="0.25">
      <c r="F516" s="3"/>
      <c r="G516" s="21"/>
      <c r="H516" s="21"/>
    </row>
    <row r="517" spans="6:8" x14ac:dyDescent="0.25">
      <c r="F517" s="3"/>
      <c r="G517" s="21"/>
      <c r="H517" s="21"/>
    </row>
    <row r="518" spans="6:8" x14ac:dyDescent="0.25">
      <c r="F518" s="3"/>
      <c r="G518" s="21"/>
      <c r="H518" s="21"/>
    </row>
    <row r="519" spans="6:8" x14ac:dyDescent="0.25">
      <c r="F519" s="3"/>
      <c r="G519" s="21"/>
      <c r="H519" s="21"/>
    </row>
    <row r="520" spans="6:8" x14ac:dyDescent="0.25">
      <c r="F520" s="3"/>
      <c r="G520" s="21"/>
      <c r="H520" s="21"/>
    </row>
    <row r="521" spans="6:8" x14ac:dyDescent="0.25">
      <c r="F521" s="3"/>
      <c r="G521" s="21"/>
      <c r="H521" s="21"/>
    </row>
    <row r="522" spans="6:8" x14ac:dyDescent="0.25">
      <c r="F522" s="3"/>
      <c r="G522" s="21"/>
      <c r="H522" s="21"/>
    </row>
    <row r="523" spans="6:8" x14ac:dyDescent="0.25">
      <c r="F523" s="3"/>
      <c r="G523" s="21"/>
      <c r="H523" s="21"/>
    </row>
    <row r="524" spans="6:8" x14ac:dyDescent="0.25">
      <c r="F524" s="3"/>
      <c r="G524" s="21"/>
      <c r="H524" s="21"/>
    </row>
    <row r="525" spans="6:8" x14ac:dyDescent="0.25">
      <c r="F525" s="3"/>
      <c r="G525" s="21"/>
      <c r="H525" s="21"/>
    </row>
    <row r="526" spans="6:8" x14ac:dyDescent="0.25">
      <c r="F526" s="3"/>
      <c r="G526" s="21"/>
      <c r="H526" s="21"/>
    </row>
    <row r="527" spans="6:8" x14ac:dyDescent="0.25">
      <c r="F527" s="3"/>
      <c r="G527" s="21"/>
      <c r="H527" s="21"/>
    </row>
    <row r="528" spans="6:8" x14ac:dyDescent="0.25">
      <c r="F528" s="3"/>
      <c r="G528" s="21"/>
      <c r="H528" s="21"/>
    </row>
    <row r="529" spans="6:8" x14ac:dyDescent="0.25">
      <c r="F529" s="3"/>
      <c r="G529" s="21"/>
      <c r="H529" s="21"/>
    </row>
    <row r="530" spans="6:8" x14ac:dyDescent="0.25">
      <c r="F530" s="3"/>
      <c r="G530" s="21"/>
      <c r="H530" s="21"/>
    </row>
    <row r="531" spans="6:8" x14ac:dyDescent="0.25">
      <c r="F531" s="3"/>
      <c r="G531" s="21"/>
      <c r="H531" s="21"/>
    </row>
    <row r="532" spans="6:8" x14ac:dyDescent="0.25">
      <c r="F532" s="3"/>
      <c r="G532" s="21"/>
      <c r="H532" s="21"/>
    </row>
    <row r="533" spans="6:8" x14ac:dyDescent="0.25">
      <c r="F533" s="3"/>
      <c r="G533" s="21"/>
      <c r="H533" s="21"/>
    </row>
    <row r="534" spans="6:8" x14ac:dyDescent="0.25">
      <c r="F534" s="3"/>
      <c r="G534" s="21"/>
      <c r="H534" s="21"/>
    </row>
    <row r="535" spans="6:8" x14ac:dyDescent="0.25">
      <c r="F535" s="3"/>
      <c r="G535" s="21"/>
      <c r="H535" s="21"/>
    </row>
    <row r="536" spans="6:8" x14ac:dyDescent="0.25">
      <c r="F536" s="3"/>
      <c r="G536" s="21"/>
      <c r="H536" s="21"/>
    </row>
    <row r="537" spans="6:8" x14ac:dyDescent="0.25">
      <c r="F537" s="3"/>
      <c r="G537" s="21"/>
      <c r="H537" s="21"/>
    </row>
    <row r="538" spans="6:8" x14ac:dyDescent="0.25">
      <c r="F538" s="3"/>
      <c r="G538" s="21"/>
      <c r="H538" s="21"/>
    </row>
    <row r="539" spans="6:8" x14ac:dyDescent="0.25">
      <c r="F539" s="3"/>
      <c r="G539" s="21"/>
      <c r="H539" s="21"/>
    </row>
    <row r="540" spans="6:8" x14ac:dyDescent="0.25">
      <c r="F540" s="3"/>
      <c r="G540" s="21"/>
      <c r="H540" s="21"/>
    </row>
    <row r="541" spans="6:8" x14ac:dyDescent="0.25">
      <c r="F541" s="3"/>
      <c r="G541" s="21"/>
      <c r="H541" s="21"/>
    </row>
    <row r="542" spans="6:8" x14ac:dyDescent="0.25">
      <c r="F542" s="3"/>
      <c r="G542" s="21"/>
      <c r="H542" s="21"/>
    </row>
    <row r="543" spans="6:8" x14ac:dyDescent="0.25">
      <c r="F543" s="3"/>
      <c r="G543" s="21"/>
      <c r="H543" s="21"/>
    </row>
    <row r="544" spans="6:8" x14ac:dyDescent="0.25">
      <c r="F544" s="3"/>
      <c r="G544" s="21"/>
      <c r="H544" s="21"/>
    </row>
    <row r="545" spans="6:8" x14ac:dyDescent="0.25">
      <c r="F545" s="3"/>
      <c r="G545" s="21"/>
      <c r="H545" s="21"/>
    </row>
    <row r="546" spans="6:8" x14ac:dyDescent="0.25">
      <c r="F546" s="3"/>
      <c r="G546" s="21"/>
      <c r="H546" s="21"/>
    </row>
    <row r="547" spans="6:8" x14ac:dyDescent="0.25">
      <c r="F547" s="3"/>
      <c r="G547" s="21"/>
      <c r="H547" s="21"/>
    </row>
    <row r="548" spans="6:8" x14ac:dyDescent="0.25">
      <c r="F548" s="3"/>
      <c r="G548" s="21"/>
      <c r="H548" s="21"/>
    </row>
    <row r="549" spans="6:8" x14ac:dyDescent="0.25">
      <c r="F549" s="3"/>
      <c r="G549" s="21"/>
      <c r="H549" s="21"/>
    </row>
    <row r="550" spans="6:8" x14ac:dyDescent="0.25">
      <c r="F550" s="3"/>
      <c r="G550" s="21"/>
      <c r="H550" s="21"/>
    </row>
    <row r="551" spans="6:8" x14ac:dyDescent="0.25">
      <c r="F551" s="3"/>
      <c r="G551" s="21"/>
      <c r="H551" s="21"/>
    </row>
    <row r="552" spans="6:8" x14ac:dyDescent="0.25">
      <c r="F552" s="3"/>
      <c r="G552" s="21"/>
      <c r="H552" s="21"/>
    </row>
    <row r="553" spans="6:8" x14ac:dyDescent="0.25">
      <c r="F553" s="3"/>
      <c r="G553" s="21"/>
      <c r="H553" s="21"/>
    </row>
    <row r="554" spans="6:8" x14ac:dyDescent="0.25">
      <c r="F554" s="3"/>
      <c r="G554" s="21"/>
      <c r="H554" s="21"/>
    </row>
    <row r="555" spans="6:8" x14ac:dyDescent="0.25">
      <c r="F555" s="3"/>
      <c r="G555" s="21"/>
      <c r="H555" s="21"/>
    </row>
    <row r="556" spans="6:8" x14ac:dyDescent="0.25">
      <c r="F556" s="3"/>
      <c r="G556" s="21"/>
      <c r="H556" s="21"/>
    </row>
    <row r="557" spans="6:8" x14ac:dyDescent="0.25">
      <c r="F557" s="3"/>
      <c r="G557" s="21"/>
      <c r="H557" s="21"/>
    </row>
    <row r="558" spans="6:8" x14ac:dyDescent="0.25">
      <c r="F558" s="3"/>
      <c r="G558" s="21"/>
      <c r="H558" s="21"/>
    </row>
    <row r="559" spans="6:8" x14ac:dyDescent="0.25">
      <c r="F559" s="3"/>
      <c r="G559" s="21"/>
      <c r="H559" s="21"/>
    </row>
    <row r="560" spans="6:8" x14ac:dyDescent="0.25">
      <c r="F560" s="3"/>
      <c r="G560" s="21"/>
      <c r="H560" s="21"/>
    </row>
    <row r="561" spans="6:8" x14ac:dyDescent="0.25">
      <c r="F561" s="3"/>
      <c r="G561" s="21"/>
      <c r="H561" s="21"/>
    </row>
    <row r="562" spans="6:8" x14ac:dyDescent="0.25">
      <c r="F562" s="3"/>
      <c r="G562" s="21"/>
      <c r="H562" s="21"/>
    </row>
    <row r="563" spans="6:8" x14ac:dyDescent="0.25">
      <c r="F563" s="3"/>
      <c r="G563" s="21"/>
      <c r="H563" s="21"/>
    </row>
    <row r="564" spans="6:8" x14ac:dyDescent="0.25">
      <c r="F564" s="3"/>
      <c r="G564" s="21"/>
      <c r="H564" s="21"/>
    </row>
    <row r="565" spans="6:8" x14ac:dyDescent="0.25">
      <c r="F565" s="3"/>
      <c r="G565" s="21"/>
      <c r="H565" s="21"/>
    </row>
    <row r="566" spans="6:8" x14ac:dyDescent="0.25">
      <c r="F566" s="3"/>
      <c r="G566" s="21"/>
      <c r="H566" s="21"/>
    </row>
    <row r="567" spans="6:8" x14ac:dyDescent="0.25">
      <c r="F567" s="3"/>
      <c r="G567" s="21"/>
      <c r="H567" s="21"/>
    </row>
    <row r="568" spans="6:8" x14ac:dyDescent="0.25">
      <c r="F568" s="3"/>
      <c r="G568" s="21"/>
      <c r="H568" s="21"/>
    </row>
    <row r="569" spans="6:8" x14ac:dyDescent="0.25">
      <c r="F569" s="3"/>
      <c r="G569" s="21"/>
      <c r="H569" s="21"/>
    </row>
    <row r="570" spans="6:8" x14ac:dyDescent="0.25">
      <c r="F570" s="3"/>
      <c r="G570" s="21"/>
      <c r="H570" s="21"/>
    </row>
    <row r="571" spans="6:8" x14ac:dyDescent="0.25">
      <c r="F571" s="3"/>
      <c r="G571" s="21"/>
      <c r="H571" s="21"/>
    </row>
    <row r="572" spans="6:8" x14ac:dyDescent="0.25">
      <c r="F572" s="3"/>
      <c r="G572" s="21"/>
      <c r="H572" s="21"/>
    </row>
    <row r="573" spans="6:8" x14ac:dyDescent="0.25">
      <c r="F573" s="3"/>
      <c r="G573" s="21"/>
      <c r="H573" s="21"/>
    </row>
    <row r="574" spans="6:8" x14ac:dyDescent="0.25">
      <c r="F574" s="3"/>
      <c r="G574" s="21"/>
      <c r="H574" s="21"/>
    </row>
    <row r="575" spans="6:8" x14ac:dyDescent="0.25">
      <c r="F575" s="3"/>
      <c r="G575" s="21"/>
      <c r="H575" s="21"/>
    </row>
    <row r="576" spans="6:8" x14ac:dyDescent="0.25">
      <c r="F576" s="3"/>
      <c r="G576" s="21"/>
      <c r="H576" s="21"/>
    </row>
    <row r="577" spans="6:8" x14ac:dyDescent="0.25">
      <c r="F577" s="3"/>
      <c r="G577" s="21"/>
      <c r="H577" s="21"/>
    </row>
    <row r="578" spans="6:8" x14ac:dyDescent="0.25">
      <c r="F578" s="3"/>
      <c r="G578" s="21"/>
      <c r="H578" s="21"/>
    </row>
    <row r="579" spans="6:8" x14ac:dyDescent="0.25">
      <c r="F579" s="3"/>
      <c r="G579" s="21"/>
      <c r="H579" s="21"/>
    </row>
    <row r="580" spans="6:8" x14ac:dyDescent="0.25">
      <c r="F580" s="3"/>
      <c r="G580" s="21"/>
      <c r="H580" s="21"/>
    </row>
    <row r="581" spans="6:8" x14ac:dyDescent="0.25">
      <c r="F581" s="3"/>
      <c r="G581" s="21"/>
      <c r="H581" s="21"/>
    </row>
    <row r="582" spans="6:8" x14ac:dyDescent="0.25">
      <c r="F582" s="3"/>
      <c r="G582" s="21"/>
      <c r="H582" s="21"/>
    </row>
    <row r="583" spans="6:8" x14ac:dyDescent="0.25">
      <c r="F583" s="3"/>
      <c r="G583" s="21"/>
      <c r="H583" s="21"/>
    </row>
    <row r="584" spans="6:8" x14ac:dyDescent="0.25">
      <c r="F584" s="3"/>
      <c r="G584" s="21"/>
      <c r="H584" s="21"/>
    </row>
    <row r="585" spans="6:8" x14ac:dyDescent="0.25">
      <c r="F585" s="3"/>
      <c r="G585" s="21"/>
      <c r="H585" s="21"/>
    </row>
    <row r="586" spans="6:8" x14ac:dyDescent="0.25">
      <c r="F586" s="3"/>
      <c r="G586" s="21"/>
      <c r="H586" s="21"/>
    </row>
    <row r="587" spans="6:8" x14ac:dyDescent="0.25">
      <c r="F587" s="3"/>
      <c r="G587" s="21"/>
      <c r="H587" s="21"/>
    </row>
    <row r="588" spans="6:8" x14ac:dyDescent="0.25">
      <c r="F588" s="3"/>
      <c r="G588" s="21"/>
      <c r="H588" s="21"/>
    </row>
    <row r="589" spans="6:8" x14ac:dyDescent="0.25">
      <c r="F589" s="3"/>
      <c r="G589" s="21"/>
      <c r="H589" s="21"/>
    </row>
    <row r="590" spans="6:8" x14ac:dyDescent="0.25">
      <c r="F590" s="3"/>
      <c r="G590" s="21"/>
      <c r="H590" s="21"/>
    </row>
    <row r="591" spans="6:8" x14ac:dyDescent="0.25">
      <c r="F591" s="3"/>
      <c r="G591" s="21"/>
      <c r="H591" s="21"/>
    </row>
    <row r="592" spans="6:8" x14ac:dyDescent="0.25">
      <c r="F592" s="3"/>
      <c r="G592" s="21"/>
      <c r="H592" s="21"/>
    </row>
    <row r="593" spans="6:8" x14ac:dyDescent="0.25">
      <c r="F593" s="3"/>
      <c r="G593" s="21"/>
      <c r="H593" s="21"/>
    </row>
    <row r="594" spans="6:8" x14ac:dyDescent="0.25">
      <c r="F594" s="3"/>
      <c r="G594" s="21"/>
      <c r="H594" s="21"/>
    </row>
    <row r="595" spans="6:8" x14ac:dyDescent="0.25">
      <c r="F595" s="3"/>
      <c r="G595" s="21"/>
      <c r="H595" s="21"/>
    </row>
    <row r="596" spans="6:8" x14ac:dyDescent="0.25">
      <c r="F596" s="3"/>
      <c r="G596" s="21"/>
      <c r="H596" s="21"/>
    </row>
    <row r="597" spans="6:8" x14ac:dyDescent="0.25">
      <c r="F597" s="3"/>
      <c r="G597" s="21"/>
      <c r="H597" s="21"/>
    </row>
    <row r="598" spans="6:8" x14ac:dyDescent="0.25">
      <c r="F598" s="3"/>
      <c r="G598" s="21"/>
      <c r="H598" s="21"/>
    </row>
    <row r="599" spans="6:8" x14ac:dyDescent="0.25">
      <c r="F599" s="3"/>
      <c r="G599" s="21"/>
      <c r="H599" s="21"/>
    </row>
    <row r="600" spans="6:8" x14ac:dyDescent="0.25">
      <c r="F600" s="3"/>
      <c r="G600" s="21"/>
      <c r="H600" s="21"/>
    </row>
    <row r="601" spans="6:8" x14ac:dyDescent="0.25">
      <c r="F601" s="3"/>
      <c r="G601" s="21"/>
      <c r="H601" s="21"/>
    </row>
    <row r="602" spans="6:8" x14ac:dyDescent="0.25">
      <c r="F602" s="3"/>
      <c r="G602" s="21"/>
      <c r="H602" s="21"/>
    </row>
    <row r="603" spans="6:8" x14ac:dyDescent="0.25">
      <c r="F603" s="3"/>
      <c r="G603" s="21"/>
      <c r="H603" s="21"/>
    </row>
    <row r="604" spans="6:8" x14ac:dyDescent="0.25">
      <c r="F604" s="3"/>
      <c r="G604" s="21"/>
      <c r="H604" s="21"/>
    </row>
    <row r="605" spans="6:8" x14ac:dyDescent="0.25">
      <c r="F605" s="3"/>
      <c r="G605" s="21"/>
      <c r="H605" s="21"/>
    </row>
    <row r="606" spans="6:8" x14ac:dyDescent="0.25">
      <c r="F606" s="3"/>
      <c r="G606" s="21"/>
      <c r="H606" s="21"/>
    </row>
    <row r="607" spans="6:8" x14ac:dyDescent="0.25">
      <c r="F607" s="3"/>
      <c r="G607" s="21"/>
      <c r="H607" s="21"/>
    </row>
    <row r="608" spans="6:8" x14ac:dyDescent="0.25">
      <c r="F608" s="3"/>
      <c r="G608" s="21"/>
      <c r="H608" s="21"/>
    </row>
    <row r="609" spans="6:8" x14ac:dyDescent="0.25">
      <c r="F609" s="3"/>
      <c r="G609" s="21"/>
      <c r="H609" s="21"/>
    </row>
    <row r="610" spans="6:8" x14ac:dyDescent="0.25">
      <c r="F610" s="3"/>
      <c r="G610" s="21"/>
      <c r="H610" s="21"/>
    </row>
    <row r="611" spans="6:8" x14ac:dyDescent="0.25">
      <c r="F611" s="3"/>
      <c r="G611" s="21"/>
      <c r="H611" s="21"/>
    </row>
    <row r="612" spans="6:8" x14ac:dyDescent="0.25">
      <c r="F612" s="3"/>
      <c r="G612" s="21"/>
      <c r="H612" s="21"/>
    </row>
    <row r="613" spans="6:8" x14ac:dyDescent="0.25">
      <c r="F613" s="3"/>
      <c r="G613" s="21"/>
      <c r="H613" s="21"/>
    </row>
    <row r="614" spans="6:8" x14ac:dyDescent="0.25">
      <c r="F614" s="3"/>
      <c r="G614" s="21"/>
      <c r="H614" s="21"/>
    </row>
    <row r="615" spans="6:8" x14ac:dyDescent="0.25">
      <c r="F615" s="3"/>
      <c r="G615" s="21"/>
      <c r="H615" s="21"/>
    </row>
    <row r="616" spans="6:8" x14ac:dyDescent="0.25">
      <c r="F616" s="3"/>
      <c r="G616" s="21"/>
      <c r="H616" s="21"/>
    </row>
    <row r="617" spans="6:8" x14ac:dyDescent="0.25">
      <c r="F617" s="3"/>
      <c r="G617" s="21"/>
      <c r="H617" s="21"/>
    </row>
    <row r="618" spans="6:8" x14ac:dyDescent="0.25">
      <c r="F618" s="3"/>
      <c r="G618" s="21"/>
      <c r="H618" s="21"/>
    </row>
    <row r="619" spans="6:8" x14ac:dyDescent="0.25">
      <c r="F619" s="3"/>
      <c r="G619" s="21"/>
      <c r="H619" s="21"/>
    </row>
    <row r="620" spans="6:8" x14ac:dyDescent="0.25">
      <c r="F620" s="3"/>
      <c r="G620" s="21"/>
      <c r="H620" s="21"/>
    </row>
    <row r="621" spans="6:8" x14ac:dyDescent="0.25">
      <c r="F621" s="3"/>
      <c r="G621" s="21"/>
      <c r="H621" s="21"/>
    </row>
    <row r="622" spans="6:8" x14ac:dyDescent="0.25">
      <c r="F622" s="3"/>
      <c r="G622" s="21"/>
      <c r="H622" s="21"/>
    </row>
    <row r="623" spans="6:8" x14ac:dyDescent="0.25">
      <c r="F623" s="3"/>
      <c r="G623" s="21"/>
      <c r="H623" s="21"/>
    </row>
    <row r="624" spans="6:8" x14ac:dyDescent="0.25">
      <c r="F624" s="3"/>
      <c r="G624" s="21"/>
      <c r="H624" s="21"/>
    </row>
    <row r="625" spans="6:8" x14ac:dyDescent="0.25">
      <c r="F625" s="3"/>
      <c r="G625" s="21"/>
      <c r="H625" s="21"/>
    </row>
    <row r="626" spans="6:8" x14ac:dyDescent="0.25">
      <c r="F626" s="3"/>
      <c r="G626" s="21"/>
      <c r="H626" s="21"/>
    </row>
    <row r="627" spans="6:8" x14ac:dyDescent="0.25">
      <c r="F627" s="3"/>
      <c r="G627" s="21"/>
      <c r="H627" s="21"/>
    </row>
    <row r="628" spans="6:8" x14ac:dyDescent="0.25">
      <c r="F628" s="3"/>
      <c r="G628" s="21"/>
      <c r="H628" s="21"/>
    </row>
    <row r="629" spans="6:8" x14ac:dyDescent="0.25">
      <c r="F629" s="3"/>
      <c r="G629" s="21"/>
      <c r="H629" s="21"/>
    </row>
    <row r="630" spans="6:8" x14ac:dyDescent="0.25">
      <c r="F630" s="3"/>
      <c r="G630" s="21"/>
      <c r="H630" s="21"/>
    </row>
    <row r="631" spans="6:8" x14ac:dyDescent="0.25">
      <c r="F631" s="3"/>
      <c r="G631" s="21"/>
      <c r="H631" s="21"/>
    </row>
    <row r="632" spans="6:8" x14ac:dyDescent="0.25">
      <c r="F632" s="3"/>
      <c r="G632" s="21"/>
      <c r="H632" s="21"/>
    </row>
    <row r="633" spans="6:8" x14ac:dyDescent="0.25">
      <c r="F633" s="3"/>
      <c r="G633" s="21"/>
      <c r="H633" s="21"/>
    </row>
    <row r="634" spans="6:8" x14ac:dyDescent="0.25">
      <c r="F634" s="3"/>
      <c r="G634" s="21"/>
      <c r="H634" s="21"/>
    </row>
    <row r="635" spans="6:8" x14ac:dyDescent="0.25">
      <c r="F635" s="3"/>
      <c r="G635" s="21"/>
      <c r="H635" s="21"/>
    </row>
    <row r="636" spans="6:8" x14ac:dyDescent="0.25">
      <c r="F636" s="3"/>
      <c r="G636" s="21"/>
      <c r="H636" s="21"/>
    </row>
    <row r="637" spans="6:8" x14ac:dyDescent="0.25">
      <c r="F637" s="3"/>
      <c r="G637" s="21"/>
      <c r="H637" s="21"/>
    </row>
    <row r="638" spans="6:8" x14ac:dyDescent="0.25">
      <c r="F638" s="3"/>
      <c r="G638" s="21"/>
      <c r="H638" s="21"/>
    </row>
    <row r="639" spans="6:8" x14ac:dyDescent="0.25">
      <c r="F639" s="3"/>
      <c r="G639" s="21"/>
      <c r="H639" s="21"/>
    </row>
    <row r="640" spans="6:8" x14ac:dyDescent="0.25">
      <c r="F640" s="3"/>
      <c r="G640" s="21"/>
      <c r="H640" s="21"/>
    </row>
    <row r="641" spans="6:8" x14ac:dyDescent="0.25">
      <c r="F641" s="3"/>
      <c r="G641" s="21"/>
      <c r="H641" s="21"/>
    </row>
    <row r="642" spans="6:8" x14ac:dyDescent="0.25">
      <c r="F642" s="3"/>
      <c r="G642" s="21"/>
      <c r="H642" s="21"/>
    </row>
    <row r="643" spans="6:8" x14ac:dyDescent="0.25">
      <c r="F643" s="3"/>
      <c r="G643" s="21"/>
      <c r="H643" s="21"/>
    </row>
    <row r="644" spans="6:8" x14ac:dyDescent="0.25">
      <c r="F644" s="3"/>
      <c r="G644" s="21"/>
      <c r="H644" s="21"/>
    </row>
    <row r="645" spans="6:8" x14ac:dyDescent="0.25">
      <c r="F645" s="3"/>
      <c r="G645" s="21"/>
      <c r="H645" s="21"/>
    </row>
    <row r="646" spans="6:8" x14ac:dyDescent="0.25">
      <c r="F646" s="3"/>
      <c r="G646" s="21"/>
      <c r="H646" s="21"/>
    </row>
    <row r="647" spans="6:8" x14ac:dyDescent="0.25">
      <c r="F647" s="3"/>
      <c r="G647" s="21"/>
      <c r="H647" s="21"/>
    </row>
    <row r="648" spans="6:8" x14ac:dyDescent="0.25">
      <c r="F648" s="3"/>
      <c r="G648" s="21"/>
      <c r="H648" s="21"/>
    </row>
    <row r="649" spans="6:8" x14ac:dyDescent="0.25">
      <c r="F649" s="3"/>
      <c r="G649" s="21"/>
      <c r="H649" s="21"/>
    </row>
    <row r="650" spans="6:8" x14ac:dyDescent="0.25">
      <c r="F650" s="3"/>
      <c r="G650" s="21"/>
      <c r="H650" s="21"/>
    </row>
    <row r="651" spans="6:8" x14ac:dyDescent="0.25">
      <c r="F651" s="3"/>
      <c r="G651" s="21"/>
      <c r="H651" s="21"/>
    </row>
    <row r="652" spans="6:8" x14ac:dyDescent="0.25">
      <c r="F652" s="3"/>
      <c r="G652" s="21"/>
      <c r="H652" s="21"/>
    </row>
    <row r="653" spans="6:8" x14ac:dyDescent="0.25">
      <c r="F653" s="3"/>
      <c r="G653" s="21"/>
      <c r="H653" s="21"/>
    </row>
    <row r="654" spans="6:8" x14ac:dyDescent="0.25">
      <c r="F654" s="3"/>
      <c r="G654" s="21"/>
      <c r="H654" s="21"/>
    </row>
    <row r="655" spans="6:8" x14ac:dyDescent="0.25">
      <c r="F655" s="3"/>
      <c r="G655" s="21"/>
      <c r="H655" s="21"/>
    </row>
    <row r="656" spans="6:8" x14ac:dyDescent="0.25">
      <c r="F656" s="3"/>
      <c r="G656" s="21"/>
      <c r="H656" s="21"/>
    </row>
    <row r="657" spans="6:8" x14ac:dyDescent="0.25">
      <c r="F657" s="3"/>
      <c r="G657" s="21"/>
      <c r="H657" s="21"/>
    </row>
    <row r="658" spans="6:8" x14ac:dyDescent="0.25">
      <c r="F658" s="3"/>
      <c r="G658" s="21"/>
      <c r="H658" s="21"/>
    </row>
    <row r="659" spans="6:8" x14ac:dyDescent="0.25">
      <c r="F659" s="3"/>
      <c r="G659" s="21"/>
      <c r="H659" s="21"/>
    </row>
    <row r="660" spans="6:8" x14ac:dyDescent="0.25">
      <c r="F660" s="3"/>
      <c r="G660" s="21"/>
      <c r="H660" s="21"/>
    </row>
    <row r="661" spans="6:8" x14ac:dyDescent="0.25">
      <c r="F661" s="3"/>
      <c r="G661" s="21"/>
      <c r="H661" s="21"/>
    </row>
    <row r="662" spans="6:8" x14ac:dyDescent="0.25">
      <c r="F662" s="3"/>
      <c r="G662" s="21"/>
      <c r="H662" s="21"/>
    </row>
    <row r="663" spans="6:8" x14ac:dyDescent="0.25">
      <c r="F663" s="3"/>
      <c r="G663" s="21"/>
      <c r="H663" s="21"/>
    </row>
    <row r="664" spans="6:8" x14ac:dyDescent="0.25">
      <c r="F664" s="3"/>
      <c r="G664" s="21"/>
      <c r="H664" s="21"/>
    </row>
    <row r="665" spans="6:8" x14ac:dyDescent="0.25">
      <c r="F665" s="3"/>
      <c r="G665" s="21"/>
      <c r="H665" s="21"/>
    </row>
    <row r="666" spans="6:8" x14ac:dyDescent="0.25">
      <c r="F666" s="3"/>
      <c r="G666" s="21"/>
      <c r="H666" s="21"/>
    </row>
    <row r="667" spans="6:8" x14ac:dyDescent="0.25">
      <c r="F667" s="3"/>
      <c r="G667" s="21"/>
      <c r="H667" s="21"/>
    </row>
    <row r="668" spans="6:8" x14ac:dyDescent="0.25">
      <c r="F668" s="3"/>
      <c r="G668" s="21"/>
      <c r="H668" s="21"/>
    </row>
    <row r="669" spans="6:8" x14ac:dyDescent="0.25">
      <c r="F669" s="3"/>
      <c r="G669" s="21"/>
      <c r="H669" s="21"/>
    </row>
    <row r="670" spans="6:8" x14ac:dyDescent="0.25">
      <c r="F670" s="3"/>
      <c r="G670" s="21"/>
      <c r="H670" s="21"/>
    </row>
    <row r="671" spans="6:8" x14ac:dyDescent="0.25">
      <c r="F671" s="3"/>
      <c r="G671" s="21"/>
      <c r="H671" s="21"/>
    </row>
    <row r="672" spans="6:8" x14ac:dyDescent="0.25">
      <c r="F672" s="3"/>
      <c r="G672" s="21"/>
      <c r="H672" s="21"/>
    </row>
    <row r="673" spans="6:8" x14ac:dyDescent="0.25">
      <c r="F673" s="3"/>
      <c r="G673" s="21"/>
      <c r="H673" s="21"/>
    </row>
    <row r="674" spans="6:8" x14ac:dyDescent="0.25">
      <c r="F674" s="3"/>
      <c r="G674" s="21"/>
      <c r="H674" s="21"/>
    </row>
    <row r="675" spans="6:8" x14ac:dyDescent="0.25">
      <c r="F675" s="3"/>
      <c r="G675" s="21"/>
      <c r="H675" s="21"/>
    </row>
    <row r="676" spans="6:8" x14ac:dyDescent="0.25">
      <c r="F676" s="3"/>
      <c r="G676" s="21"/>
      <c r="H676" s="21"/>
    </row>
    <row r="677" spans="6:8" x14ac:dyDescent="0.25">
      <c r="F677" s="3"/>
      <c r="G677" s="21"/>
      <c r="H677" s="21"/>
    </row>
    <row r="678" spans="6:8" x14ac:dyDescent="0.25">
      <c r="F678" s="3"/>
      <c r="G678" s="21"/>
      <c r="H678" s="21"/>
    </row>
    <row r="679" spans="6:8" x14ac:dyDescent="0.25">
      <c r="F679" s="3"/>
      <c r="G679" s="21"/>
      <c r="H679" s="21"/>
    </row>
    <row r="680" spans="6:8" x14ac:dyDescent="0.25">
      <c r="F680" s="3"/>
      <c r="G680" s="21"/>
      <c r="H680" s="21"/>
    </row>
    <row r="681" spans="6:8" x14ac:dyDescent="0.25">
      <c r="F681" s="3"/>
      <c r="G681" s="21"/>
      <c r="H681" s="21"/>
    </row>
    <row r="682" spans="6:8" x14ac:dyDescent="0.25">
      <c r="F682" s="3"/>
      <c r="G682" s="21"/>
      <c r="H682" s="21"/>
    </row>
    <row r="683" spans="6:8" x14ac:dyDescent="0.25">
      <c r="F683" s="3"/>
      <c r="G683" s="21"/>
      <c r="H683" s="21"/>
    </row>
    <row r="684" spans="6:8" x14ac:dyDescent="0.25">
      <c r="F684" s="3"/>
      <c r="G684" s="21"/>
      <c r="H684" s="21"/>
    </row>
    <row r="685" spans="6:8" x14ac:dyDescent="0.25">
      <c r="F685" s="3"/>
      <c r="G685" s="21"/>
      <c r="H685" s="21"/>
    </row>
    <row r="686" spans="6:8" x14ac:dyDescent="0.25">
      <c r="F686" s="3"/>
      <c r="G686" s="21"/>
      <c r="H686" s="21"/>
    </row>
    <row r="687" spans="6:8" x14ac:dyDescent="0.25">
      <c r="F687" s="3"/>
      <c r="G687" s="21"/>
      <c r="H687" s="21"/>
    </row>
    <row r="688" spans="6:8" x14ac:dyDescent="0.25">
      <c r="F688" s="3"/>
      <c r="G688" s="21"/>
      <c r="H688" s="21"/>
    </row>
    <row r="689" spans="6:8" x14ac:dyDescent="0.25">
      <c r="F689" s="3"/>
      <c r="G689" s="21"/>
      <c r="H689" s="21"/>
    </row>
    <row r="690" spans="6:8" x14ac:dyDescent="0.25">
      <c r="F690" s="3"/>
      <c r="G690" s="21"/>
      <c r="H690" s="21"/>
    </row>
    <row r="691" spans="6:8" x14ac:dyDescent="0.25">
      <c r="F691" s="3"/>
      <c r="G691" s="21"/>
      <c r="H691" s="21"/>
    </row>
    <row r="692" spans="6:8" x14ac:dyDescent="0.25">
      <c r="F692" s="3"/>
      <c r="G692" s="21"/>
      <c r="H692" s="21"/>
    </row>
    <row r="693" spans="6:8" x14ac:dyDescent="0.25">
      <c r="F693" s="3"/>
      <c r="G693" s="21"/>
      <c r="H693" s="21"/>
    </row>
    <row r="694" spans="6:8" x14ac:dyDescent="0.25">
      <c r="F694" s="3"/>
      <c r="G694" s="21"/>
      <c r="H694" s="21"/>
    </row>
    <row r="695" spans="6:8" x14ac:dyDescent="0.25">
      <c r="F695" s="3"/>
      <c r="G695" s="21"/>
      <c r="H695" s="21"/>
    </row>
    <row r="696" spans="6:8" x14ac:dyDescent="0.25">
      <c r="F696" s="3"/>
      <c r="G696" s="21"/>
      <c r="H696" s="21"/>
    </row>
    <row r="697" spans="6:8" x14ac:dyDescent="0.25">
      <c r="F697" s="3"/>
      <c r="G697" s="21"/>
      <c r="H697" s="21"/>
    </row>
    <row r="698" spans="6:8" x14ac:dyDescent="0.25">
      <c r="F698" s="3"/>
      <c r="G698" s="21"/>
      <c r="H698" s="21"/>
    </row>
    <row r="699" spans="6:8" x14ac:dyDescent="0.25">
      <c r="F699" s="3"/>
      <c r="G699" s="21"/>
      <c r="H699" s="21"/>
    </row>
    <row r="700" spans="6:8" x14ac:dyDescent="0.25">
      <c r="F700" s="3"/>
      <c r="G700" s="21"/>
      <c r="H700" s="21"/>
    </row>
    <row r="701" spans="6:8" x14ac:dyDescent="0.25">
      <c r="F701" s="3"/>
      <c r="G701" s="21"/>
      <c r="H701" s="21"/>
    </row>
    <row r="702" spans="6:8" x14ac:dyDescent="0.25">
      <c r="F702" s="3"/>
      <c r="G702" s="21"/>
      <c r="H702" s="21"/>
    </row>
    <row r="703" spans="6:8" x14ac:dyDescent="0.25">
      <c r="F703" s="3"/>
      <c r="G703" s="21"/>
      <c r="H703" s="21"/>
    </row>
    <row r="704" spans="6:8" x14ac:dyDescent="0.25">
      <c r="F704" s="3"/>
      <c r="G704" s="21"/>
      <c r="H704" s="21"/>
    </row>
    <row r="705" spans="6:8" x14ac:dyDescent="0.25">
      <c r="F705" s="3"/>
      <c r="G705" s="21"/>
      <c r="H705" s="21"/>
    </row>
    <row r="706" spans="6:8" x14ac:dyDescent="0.25">
      <c r="F706" s="3"/>
      <c r="G706" s="21"/>
      <c r="H706" s="21"/>
    </row>
    <row r="707" spans="6:8" x14ac:dyDescent="0.25">
      <c r="F707" s="3"/>
      <c r="G707" s="21"/>
      <c r="H707" s="21"/>
    </row>
    <row r="708" spans="6:8" x14ac:dyDescent="0.25">
      <c r="F708" s="3"/>
      <c r="G708" s="21"/>
      <c r="H708" s="21"/>
    </row>
    <row r="709" spans="6:8" x14ac:dyDescent="0.25">
      <c r="F709" s="3"/>
      <c r="G709" s="21"/>
      <c r="H709" s="21"/>
    </row>
    <row r="710" spans="6:8" x14ac:dyDescent="0.25">
      <c r="F710" s="3"/>
      <c r="G710" s="21"/>
      <c r="H710" s="21"/>
    </row>
    <row r="711" spans="6:8" x14ac:dyDescent="0.25">
      <c r="F711" s="3"/>
      <c r="G711" s="21"/>
      <c r="H711" s="21"/>
    </row>
    <row r="712" spans="6:8" x14ac:dyDescent="0.25">
      <c r="F712" s="3"/>
      <c r="G712" s="21"/>
      <c r="H712" s="21"/>
    </row>
    <row r="713" spans="6:8" x14ac:dyDescent="0.25">
      <c r="F713" s="3"/>
      <c r="G713" s="21"/>
      <c r="H713" s="21"/>
    </row>
    <row r="714" spans="6:8" x14ac:dyDescent="0.25">
      <c r="F714" s="3"/>
      <c r="G714" s="21"/>
      <c r="H714" s="21"/>
    </row>
    <row r="715" spans="6:8" x14ac:dyDescent="0.25">
      <c r="F715" s="3"/>
      <c r="G715" s="21"/>
      <c r="H715" s="21"/>
    </row>
    <row r="716" spans="6:8" x14ac:dyDescent="0.25">
      <c r="F716" s="3"/>
      <c r="G716" s="21"/>
      <c r="H716" s="21"/>
    </row>
    <row r="717" spans="6:8" x14ac:dyDescent="0.25">
      <c r="F717" s="3"/>
      <c r="G717" s="21"/>
      <c r="H717" s="21"/>
    </row>
    <row r="718" spans="6:8" x14ac:dyDescent="0.25">
      <c r="F718" s="3"/>
      <c r="G718" s="21"/>
      <c r="H718" s="21"/>
    </row>
    <row r="719" spans="6:8" x14ac:dyDescent="0.25">
      <c r="F719" s="3"/>
      <c r="G719" s="21"/>
      <c r="H719" s="21"/>
    </row>
    <row r="720" spans="6:8" x14ac:dyDescent="0.25">
      <c r="F720" s="3"/>
      <c r="G720" s="21"/>
      <c r="H720" s="21"/>
    </row>
    <row r="721" spans="3:8" x14ac:dyDescent="0.25">
      <c r="F721" s="3"/>
      <c r="G721" s="21"/>
      <c r="H721" s="21"/>
    </row>
    <row r="722" spans="3:8" x14ac:dyDescent="0.25">
      <c r="F722" s="3"/>
      <c r="G722" s="21"/>
      <c r="H722" s="21"/>
    </row>
    <row r="723" spans="3:8" x14ac:dyDescent="0.25">
      <c r="F723" s="3"/>
      <c r="G723" s="21"/>
      <c r="H723" s="21"/>
    </row>
    <row r="724" spans="3:8" x14ac:dyDescent="0.25">
      <c r="F724" s="3"/>
      <c r="G724" s="21"/>
      <c r="H724" s="21"/>
    </row>
    <row r="725" spans="3:8" x14ac:dyDescent="0.25">
      <c r="F725" s="3"/>
      <c r="G725" s="21"/>
      <c r="H725" s="21"/>
    </row>
    <row r="726" spans="3:8" x14ac:dyDescent="0.25">
      <c r="F726" s="3"/>
      <c r="G726" s="21"/>
      <c r="H726" s="21"/>
    </row>
    <row r="727" spans="3:8" x14ac:dyDescent="0.25">
      <c r="F727" s="3"/>
      <c r="G727" s="21"/>
      <c r="H727" s="21"/>
    </row>
    <row r="728" spans="3:8" x14ac:dyDescent="0.25">
      <c r="F728" s="3"/>
      <c r="G728" s="21"/>
      <c r="H728" s="21"/>
    </row>
    <row r="729" spans="3:8" x14ac:dyDescent="0.25">
      <c r="F729" s="3"/>
      <c r="G729" s="21"/>
      <c r="H729" s="21"/>
    </row>
    <row r="730" spans="3:8" x14ac:dyDescent="0.25">
      <c r="F730" s="3"/>
      <c r="G730" s="21"/>
      <c r="H730" s="21"/>
    </row>
    <row r="731" spans="3:8" x14ac:dyDescent="0.25">
      <c r="F731" s="3"/>
      <c r="G731" s="21"/>
      <c r="H731" s="21"/>
    </row>
    <row r="732" spans="3:8" x14ac:dyDescent="0.25">
      <c r="F732" s="3"/>
      <c r="G732" s="21"/>
      <c r="H732" s="21"/>
    </row>
    <row r="733" spans="3:8" x14ac:dyDescent="0.25">
      <c r="F733" s="3"/>
      <c r="G733" s="21"/>
      <c r="H733" s="21"/>
    </row>
    <row r="734" spans="3:8" x14ac:dyDescent="0.25">
      <c r="C734" s="108"/>
      <c r="D734" s="144"/>
      <c r="F734" s="3"/>
      <c r="G734" s="21"/>
      <c r="H734" s="21"/>
    </row>
    <row r="735" spans="3:8" x14ac:dyDescent="0.25">
      <c r="F735" s="3"/>
      <c r="G735" s="21"/>
      <c r="H735" s="21"/>
    </row>
    <row r="736" spans="3:8" x14ac:dyDescent="0.25">
      <c r="F736" s="3"/>
      <c r="G736" s="21"/>
      <c r="H736" s="21"/>
    </row>
    <row r="737" spans="6:8" x14ac:dyDescent="0.25">
      <c r="F737" s="3"/>
      <c r="G737" s="21"/>
      <c r="H737" s="21"/>
    </row>
    <row r="738" spans="6:8" x14ac:dyDescent="0.25">
      <c r="F738" s="3"/>
      <c r="G738" s="21"/>
      <c r="H738" s="21"/>
    </row>
    <row r="739" spans="6:8" x14ac:dyDescent="0.25">
      <c r="F739" s="3"/>
      <c r="G739" s="21"/>
      <c r="H739" s="21"/>
    </row>
    <row r="740" spans="6:8" x14ac:dyDescent="0.25">
      <c r="F740" s="3"/>
      <c r="G740" s="21"/>
      <c r="H740" s="21"/>
    </row>
    <row r="741" spans="6:8" x14ac:dyDescent="0.25">
      <c r="F741" s="3"/>
      <c r="G741" s="21"/>
      <c r="H741" s="21"/>
    </row>
    <row r="742" spans="6:8" x14ac:dyDescent="0.25">
      <c r="F742" s="3"/>
      <c r="G742" s="21"/>
      <c r="H742" s="21"/>
    </row>
    <row r="743" spans="6:8" x14ac:dyDescent="0.25">
      <c r="F743" s="3"/>
      <c r="G743" s="21"/>
      <c r="H743" s="21"/>
    </row>
    <row r="744" spans="6:8" x14ac:dyDescent="0.25">
      <c r="F744" s="3"/>
      <c r="G744" s="21"/>
      <c r="H744" s="21"/>
    </row>
    <row r="745" spans="6:8" x14ac:dyDescent="0.25">
      <c r="F745" s="3"/>
      <c r="G745" s="21"/>
      <c r="H745" s="21"/>
    </row>
    <row r="746" spans="6:8" x14ac:dyDescent="0.25">
      <c r="F746" s="3"/>
      <c r="G746" s="21"/>
      <c r="H746" s="21"/>
    </row>
    <row r="747" spans="6:8" x14ac:dyDescent="0.25">
      <c r="F747" s="3"/>
      <c r="G747" s="21"/>
      <c r="H747" s="21"/>
    </row>
    <row r="748" spans="6:8" x14ac:dyDescent="0.25">
      <c r="F748" s="3"/>
      <c r="G748" s="21"/>
      <c r="H748" s="21"/>
    </row>
    <row r="749" spans="6:8" x14ac:dyDescent="0.25">
      <c r="F749" s="3"/>
      <c r="G749" s="21"/>
      <c r="H749" s="21"/>
    </row>
    <row r="750" spans="6:8" x14ac:dyDescent="0.25">
      <c r="F750" s="3"/>
      <c r="G750" s="21"/>
      <c r="H750" s="21"/>
    </row>
    <row r="751" spans="6:8" x14ac:dyDescent="0.25">
      <c r="F751" s="3"/>
      <c r="G751" s="21"/>
      <c r="H751" s="21"/>
    </row>
    <row r="752" spans="6:8" x14ac:dyDescent="0.25">
      <c r="F752" s="3"/>
      <c r="G752" s="21"/>
      <c r="H752" s="21"/>
    </row>
    <row r="753" spans="6:8" x14ac:dyDescent="0.25">
      <c r="F753" s="3"/>
      <c r="G753" s="21"/>
      <c r="H753" s="21"/>
    </row>
    <row r="754" spans="6:8" x14ac:dyDescent="0.25">
      <c r="F754" s="3"/>
      <c r="G754" s="21"/>
      <c r="H754" s="21"/>
    </row>
    <row r="755" spans="6:8" x14ac:dyDescent="0.25">
      <c r="F755" s="3"/>
      <c r="G755" s="21"/>
      <c r="H755" s="21"/>
    </row>
    <row r="756" spans="6:8" x14ac:dyDescent="0.25">
      <c r="F756" s="3"/>
      <c r="G756" s="21"/>
      <c r="H756" s="21"/>
    </row>
    <row r="757" spans="6:8" x14ac:dyDescent="0.25">
      <c r="F757" s="3"/>
      <c r="G757" s="21"/>
      <c r="H757" s="21"/>
    </row>
    <row r="758" spans="6:8" x14ac:dyDescent="0.25">
      <c r="F758" s="3"/>
      <c r="G758" s="21"/>
      <c r="H758" s="21"/>
    </row>
    <row r="759" spans="6:8" x14ac:dyDescent="0.25">
      <c r="F759" s="3"/>
      <c r="G759" s="21"/>
      <c r="H759" s="21"/>
    </row>
    <row r="760" spans="6:8" x14ac:dyDescent="0.25">
      <c r="F760" s="3"/>
      <c r="G760" s="21"/>
      <c r="H760" s="21"/>
    </row>
    <row r="761" spans="6:8" x14ac:dyDescent="0.25">
      <c r="F761" s="3"/>
      <c r="G761" s="21"/>
      <c r="H761" s="21"/>
    </row>
    <row r="762" spans="6:8" x14ac:dyDescent="0.25">
      <c r="F762" s="3"/>
      <c r="G762" s="21"/>
      <c r="H762" s="21"/>
    </row>
    <row r="763" spans="6:8" x14ac:dyDescent="0.25">
      <c r="F763" s="3"/>
      <c r="G763" s="21"/>
      <c r="H763" s="21"/>
    </row>
    <row r="764" spans="6:8" x14ac:dyDescent="0.25">
      <c r="F764" s="3"/>
      <c r="G764" s="21"/>
      <c r="H764" s="21"/>
    </row>
    <row r="765" spans="6:8" x14ac:dyDescent="0.25">
      <c r="F765" s="3"/>
      <c r="G765" s="21"/>
      <c r="H765" s="21"/>
    </row>
    <row r="766" spans="6:8" x14ac:dyDescent="0.25">
      <c r="F766" s="3"/>
      <c r="G766" s="21"/>
      <c r="H766" s="21"/>
    </row>
    <row r="767" spans="6:8" x14ac:dyDescent="0.25">
      <c r="F767" s="3"/>
      <c r="G767" s="21"/>
      <c r="H767" s="21"/>
    </row>
    <row r="768" spans="6:8" x14ac:dyDescent="0.25">
      <c r="F768" s="3"/>
      <c r="G768" s="21"/>
      <c r="H768" s="21"/>
    </row>
    <row r="769" spans="6:8" x14ac:dyDescent="0.25">
      <c r="F769" s="3"/>
      <c r="G769" s="21"/>
      <c r="H769" s="21"/>
    </row>
    <row r="770" spans="6:8" x14ac:dyDescent="0.25">
      <c r="F770" s="3"/>
      <c r="G770" s="21"/>
      <c r="H770" s="21"/>
    </row>
    <row r="771" spans="6:8" x14ac:dyDescent="0.25">
      <c r="F771" s="3"/>
      <c r="G771" s="21"/>
      <c r="H771" s="21"/>
    </row>
    <row r="772" spans="6:8" x14ac:dyDescent="0.25">
      <c r="F772" s="3"/>
      <c r="G772" s="21"/>
      <c r="H772" s="21"/>
    </row>
    <row r="773" spans="6:8" x14ac:dyDescent="0.25">
      <c r="F773" s="3"/>
      <c r="G773" s="21"/>
      <c r="H773" s="21"/>
    </row>
    <row r="774" spans="6:8" x14ac:dyDescent="0.25">
      <c r="F774" s="3"/>
      <c r="G774" s="21"/>
      <c r="H774" s="21"/>
    </row>
    <row r="775" spans="6:8" x14ac:dyDescent="0.25">
      <c r="F775" s="3"/>
      <c r="G775" s="21"/>
      <c r="H775" s="21"/>
    </row>
    <row r="776" spans="6:8" x14ac:dyDescent="0.25">
      <c r="F776" s="3"/>
      <c r="G776" s="21"/>
      <c r="H776" s="21"/>
    </row>
    <row r="777" spans="6:8" x14ac:dyDescent="0.25">
      <c r="F777" s="3"/>
      <c r="G777" s="21"/>
      <c r="H777" s="21"/>
    </row>
    <row r="778" spans="6:8" x14ac:dyDescent="0.25">
      <c r="F778" s="3"/>
      <c r="G778" s="21"/>
      <c r="H778" s="21"/>
    </row>
    <row r="779" spans="6:8" x14ac:dyDescent="0.25">
      <c r="F779" s="3"/>
      <c r="G779" s="21"/>
      <c r="H779" s="21"/>
    </row>
    <row r="780" spans="6:8" x14ac:dyDescent="0.25">
      <c r="F780" s="3"/>
      <c r="G780" s="21"/>
      <c r="H780" s="21"/>
    </row>
    <row r="781" spans="6:8" x14ac:dyDescent="0.25">
      <c r="F781" s="3"/>
      <c r="G781" s="21"/>
      <c r="H781" s="21"/>
    </row>
    <row r="782" spans="6:8" x14ac:dyDescent="0.25">
      <c r="F782" s="3"/>
      <c r="G782" s="21"/>
      <c r="H782" s="21"/>
    </row>
    <row r="783" spans="6:8" x14ac:dyDescent="0.25">
      <c r="F783" s="3"/>
      <c r="G783" s="21"/>
      <c r="H783" s="21"/>
    </row>
    <row r="784" spans="6:8" x14ac:dyDescent="0.25">
      <c r="F784" s="3"/>
      <c r="G784" s="21"/>
      <c r="H784" s="21"/>
    </row>
    <row r="785" spans="6:8" x14ac:dyDescent="0.25">
      <c r="F785" s="3"/>
      <c r="G785" s="21"/>
      <c r="H785" s="21"/>
    </row>
    <row r="786" spans="6:8" x14ac:dyDescent="0.25">
      <c r="F786" s="3"/>
      <c r="G786" s="21"/>
      <c r="H786" s="21"/>
    </row>
    <row r="787" spans="6:8" x14ac:dyDescent="0.25">
      <c r="F787" s="3"/>
      <c r="G787" s="21"/>
      <c r="H787" s="21"/>
    </row>
    <row r="788" spans="6:8" x14ac:dyDescent="0.25">
      <c r="F788" s="3"/>
      <c r="G788" s="21"/>
      <c r="H788" s="21"/>
    </row>
    <row r="789" spans="6:8" x14ac:dyDescent="0.25">
      <c r="F789" s="3"/>
      <c r="G789" s="21"/>
      <c r="H789" s="21"/>
    </row>
    <row r="790" spans="6:8" x14ac:dyDescent="0.25">
      <c r="F790" s="3"/>
      <c r="G790" s="21"/>
      <c r="H790" s="21"/>
    </row>
    <row r="791" spans="6:8" x14ac:dyDescent="0.25">
      <c r="F791" s="3"/>
      <c r="G791" s="21"/>
      <c r="H791" s="21"/>
    </row>
    <row r="792" spans="6:8" x14ac:dyDescent="0.25">
      <c r="F792" s="3"/>
      <c r="G792" s="21"/>
      <c r="H792" s="21"/>
    </row>
    <row r="793" spans="6:8" x14ac:dyDescent="0.25">
      <c r="F793" s="3"/>
      <c r="G793" s="21"/>
      <c r="H793" s="21"/>
    </row>
    <row r="794" spans="6:8" x14ac:dyDescent="0.25">
      <c r="F794" s="3"/>
      <c r="G794" s="21"/>
      <c r="H794" s="21"/>
    </row>
    <row r="795" spans="6:8" x14ac:dyDescent="0.25">
      <c r="F795" s="3"/>
      <c r="G795" s="21"/>
      <c r="H795" s="21"/>
    </row>
    <row r="796" spans="6:8" x14ac:dyDescent="0.25">
      <c r="F796" s="3"/>
      <c r="G796" s="21"/>
      <c r="H796" s="21"/>
    </row>
    <row r="797" spans="6:8" x14ac:dyDescent="0.25">
      <c r="F797" s="3"/>
      <c r="G797" s="21"/>
      <c r="H797" s="21"/>
    </row>
    <row r="798" spans="6:8" x14ac:dyDescent="0.25">
      <c r="F798" s="3"/>
      <c r="G798" s="21"/>
      <c r="H798" s="21"/>
    </row>
    <row r="799" spans="6:8" x14ac:dyDescent="0.25">
      <c r="F799" s="3"/>
      <c r="G799" s="21"/>
      <c r="H799" s="21"/>
    </row>
    <row r="800" spans="6:8" x14ac:dyDescent="0.25">
      <c r="F800" s="3"/>
      <c r="G800" s="21"/>
      <c r="H800" s="21"/>
    </row>
    <row r="801" spans="1:8" x14ac:dyDescent="0.25">
      <c r="F801" s="3"/>
      <c r="G801" s="21"/>
      <c r="H801" s="21"/>
    </row>
    <row r="802" spans="1:8" x14ac:dyDescent="0.25">
      <c r="F802" s="3"/>
      <c r="G802" s="21"/>
      <c r="H802" s="21"/>
    </row>
    <row r="803" spans="1:8" x14ac:dyDescent="0.25">
      <c r="F803" s="3"/>
      <c r="G803" s="21"/>
      <c r="H803" s="21"/>
    </row>
    <row r="804" spans="1:8" x14ac:dyDescent="0.25">
      <c r="F804" s="3"/>
      <c r="G804" s="21"/>
      <c r="H804" s="21"/>
    </row>
    <row r="805" spans="1:8" x14ac:dyDescent="0.25">
      <c r="F805" s="3"/>
      <c r="G805" s="21"/>
      <c r="H805" s="21"/>
    </row>
    <row r="806" spans="1:8" x14ac:dyDescent="0.25">
      <c r="F806" s="3"/>
      <c r="G806" s="21"/>
      <c r="H806" s="21"/>
    </row>
    <row r="807" spans="1:8" x14ac:dyDescent="0.25">
      <c r="F807" s="3"/>
      <c r="G807" s="21"/>
      <c r="H807" s="21"/>
    </row>
    <row r="808" spans="1:8" x14ac:dyDescent="0.25">
      <c r="F808" s="3"/>
      <c r="G808" s="21"/>
      <c r="H808" s="21"/>
    </row>
    <row r="809" spans="1:8" x14ac:dyDescent="0.25">
      <c r="F809" s="3"/>
      <c r="G809" s="21"/>
      <c r="H809" s="21"/>
    </row>
    <row r="810" spans="1:8" x14ac:dyDescent="0.25">
      <c r="A810" s="145"/>
      <c r="F810" s="3"/>
      <c r="G810" s="21"/>
      <c r="H810" s="21"/>
    </row>
    <row r="811" spans="1:8" x14ac:dyDescent="0.25">
      <c r="F811" s="3"/>
      <c r="G811" s="21"/>
      <c r="H811" s="21"/>
    </row>
    <row r="812" spans="1:8" x14ac:dyDescent="0.25">
      <c r="F812" s="3"/>
      <c r="G812" s="21"/>
      <c r="H812" s="21"/>
    </row>
    <row r="813" spans="1:8" x14ac:dyDescent="0.25">
      <c r="F813" s="3"/>
      <c r="G813" s="21"/>
      <c r="H813" s="21"/>
    </row>
    <row r="814" spans="1:8" x14ac:dyDescent="0.25">
      <c r="F814" s="3"/>
      <c r="G814" s="21"/>
      <c r="H814" s="21"/>
    </row>
    <row r="815" spans="1:8" x14ac:dyDescent="0.25">
      <c r="F815" s="3"/>
      <c r="G815" s="21"/>
      <c r="H815" s="21"/>
    </row>
    <row r="816" spans="1:8" x14ac:dyDescent="0.25">
      <c r="F816" s="3"/>
      <c r="G816" s="21"/>
      <c r="H816" s="21"/>
    </row>
    <row r="817" spans="6:8" x14ac:dyDescent="0.25">
      <c r="F817" s="3"/>
      <c r="G817" s="21"/>
      <c r="H817" s="21"/>
    </row>
    <row r="818" spans="6:8" x14ac:dyDescent="0.25">
      <c r="F818" s="3"/>
      <c r="G818" s="21"/>
      <c r="H818" s="21"/>
    </row>
    <row r="819" spans="6:8" x14ac:dyDescent="0.25">
      <c r="F819" s="3"/>
      <c r="G819" s="21"/>
      <c r="H819" s="21"/>
    </row>
    <row r="820" spans="6:8" x14ac:dyDescent="0.25">
      <c r="F820" s="3"/>
      <c r="G820" s="21"/>
      <c r="H820" s="21"/>
    </row>
    <row r="821" spans="6:8" x14ac:dyDescent="0.25">
      <c r="F821" s="3"/>
      <c r="G821" s="21"/>
      <c r="H821" s="21"/>
    </row>
    <row r="822" spans="6:8" x14ac:dyDescent="0.25">
      <c r="F822" s="3"/>
      <c r="G822" s="21"/>
      <c r="H822" s="21"/>
    </row>
    <row r="823" spans="6:8" x14ac:dyDescent="0.25">
      <c r="F823" s="3"/>
      <c r="G823" s="21"/>
      <c r="H823" s="21"/>
    </row>
    <row r="824" spans="6:8" x14ac:dyDescent="0.25">
      <c r="F824" s="3"/>
      <c r="G824" s="21"/>
      <c r="H824" s="21"/>
    </row>
    <row r="825" spans="6:8" x14ac:dyDescent="0.25">
      <c r="F825" s="3"/>
      <c r="G825" s="21"/>
      <c r="H825" s="21"/>
    </row>
    <row r="826" spans="6:8" x14ac:dyDescent="0.25">
      <c r="F826" s="3"/>
      <c r="G826" s="21"/>
      <c r="H826" s="21"/>
    </row>
    <row r="827" spans="6:8" x14ac:dyDescent="0.25">
      <c r="F827" s="3"/>
      <c r="G827" s="21"/>
      <c r="H827" s="21"/>
    </row>
    <row r="828" spans="6:8" x14ac:dyDescent="0.25">
      <c r="F828" s="3"/>
      <c r="G828" s="21"/>
      <c r="H828" s="21"/>
    </row>
    <row r="829" spans="6:8" x14ac:dyDescent="0.25">
      <c r="F829" s="3"/>
      <c r="G829" s="21"/>
      <c r="H829" s="21"/>
    </row>
    <row r="830" spans="6:8" x14ac:dyDescent="0.25">
      <c r="F830" s="3"/>
      <c r="G830" s="21"/>
      <c r="H830" s="21"/>
    </row>
    <row r="831" spans="6:8" x14ac:dyDescent="0.25">
      <c r="F831" s="3"/>
      <c r="G831" s="21"/>
      <c r="H831" s="21"/>
    </row>
    <row r="832" spans="6:8" x14ac:dyDescent="0.25">
      <c r="F832" s="3"/>
      <c r="G832" s="21"/>
      <c r="H832" s="21"/>
    </row>
    <row r="833" spans="6:8" x14ac:dyDescent="0.25">
      <c r="F833" s="3"/>
      <c r="G833" s="21"/>
      <c r="H833" s="21"/>
    </row>
    <row r="834" spans="6:8" x14ac:dyDescent="0.25">
      <c r="F834" s="3"/>
      <c r="G834" s="21"/>
      <c r="H834" s="21"/>
    </row>
    <row r="835" spans="6:8" x14ac:dyDescent="0.25">
      <c r="F835" s="3"/>
      <c r="G835" s="21"/>
      <c r="H835" s="21"/>
    </row>
    <row r="836" spans="6:8" x14ac:dyDescent="0.25">
      <c r="F836" s="3"/>
      <c r="G836" s="21"/>
      <c r="H836" s="21"/>
    </row>
    <row r="837" spans="6:8" x14ac:dyDescent="0.25">
      <c r="F837" s="3"/>
      <c r="G837" s="21"/>
      <c r="H837" s="21"/>
    </row>
    <row r="838" spans="6:8" x14ac:dyDescent="0.25">
      <c r="F838" s="3"/>
      <c r="G838" s="21"/>
      <c r="H838" s="21"/>
    </row>
    <row r="839" spans="6:8" x14ac:dyDescent="0.25">
      <c r="F839" s="3"/>
      <c r="G839" s="21"/>
      <c r="H839" s="21"/>
    </row>
    <row r="840" spans="6:8" x14ac:dyDescent="0.25">
      <c r="F840" s="3"/>
      <c r="G840" s="21"/>
      <c r="H840" s="21"/>
    </row>
    <row r="841" spans="6:8" x14ac:dyDescent="0.25">
      <c r="F841" s="3"/>
      <c r="G841" s="21"/>
      <c r="H841" s="21"/>
    </row>
    <row r="842" spans="6:8" x14ac:dyDescent="0.25">
      <c r="F842" s="3"/>
      <c r="G842" s="21"/>
      <c r="H842" s="21"/>
    </row>
    <row r="843" spans="6:8" x14ac:dyDescent="0.25">
      <c r="F843" s="3"/>
      <c r="G843" s="21"/>
      <c r="H843" s="21"/>
    </row>
    <row r="844" spans="6:8" x14ac:dyDescent="0.25">
      <c r="F844" s="3"/>
      <c r="G844" s="21"/>
      <c r="H844" s="21"/>
    </row>
    <row r="845" spans="6:8" x14ac:dyDescent="0.25">
      <c r="F845" s="3"/>
      <c r="G845" s="21"/>
      <c r="H845" s="21"/>
    </row>
    <row r="846" spans="6:8" x14ac:dyDescent="0.25">
      <c r="F846" s="3"/>
      <c r="G846" s="21"/>
      <c r="H846" s="21"/>
    </row>
    <row r="847" spans="6:8" x14ac:dyDescent="0.25">
      <c r="F847" s="3"/>
      <c r="G847" s="21"/>
      <c r="H847" s="21"/>
    </row>
    <row r="848" spans="6:8" x14ac:dyDescent="0.25">
      <c r="F848" s="3"/>
      <c r="G848" s="21"/>
      <c r="H848" s="21"/>
    </row>
    <row r="849" spans="4:8" x14ac:dyDescent="0.25">
      <c r="F849" s="3"/>
      <c r="G849" s="21"/>
      <c r="H849" s="21"/>
    </row>
    <row r="850" spans="4:8" x14ac:dyDescent="0.25">
      <c r="F850" s="3"/>
      <c r="G850" s="21"/>
      <c r="H850" s="21"/>
    </row>
    <row r="851" spans="4:8" x14ac:dyDescent="0.25">
      <c r="F851" s="3"/>
      <c r="G851" s="21"/>
      <c r="H851" s="21"/>
    </row>
    <row r="852" spans="4:8" x14ac:dyDescent="0.25">
      <c r="F852" s="3"/>
      <c r="G852" s="21"/>
      <c r="H852" s="21"/>
    </row>
    <row r="853" spans="4:8" x14ac:dyDescent="0.25">
      <c r="F853" s="3"/>
      <c r="G853" s="21"/>
      <c r="H853" s="21"/>
    </row>
    <row r="854" spans="4:8" x14ac:dyDescent="0.25">
      <c r="F854" s="3"/>
      <c r="G854" s="21"/>
      <c r="H854" s="21"/>
    </row>
    <row r="855" spans="4:8" x14ac:dyDescent="0.25">
      <c r="F855" s="3"/>
      <c r="G855" s="21"/>
      <c r="H855" s="21"/>
    </row>
    <row r="856" spans="4:8" x14ac:dyDescent="0.25">
      <c r="F856" s="3"/>
      <c r="G856" s="21"/>
      <c r="H856" s="21"/>
    </row>
    <row r="857" spans="4:8" x14ac:dyDescent="0.25">
      <c r="F857" s="3"/>
      <c r="G857" s="21"/>
      <c r="H857" s="21"/>
    </row>
    <row r="858" spans="4:8" x14ac:dyDescent="0.25">
      <c r="D858" s="121"/>
      <c r="F858" s="3"/>
      <c r="G858" s="21"/>
      <c r="H858" s="21"/>
    </row>
    <row r="859" spans="4:8" x14ac:dyDescent="0.25">
      <c r="F859" s="3"/>
      <c r="G859" s="21"/>
      <c r="H859" s="21"/>
    </row>
    <row r="860" spans="4:8" x14ac:dyDescent="0.25">
      <c r="E860" s="109"/>
      <c r="F860" s="3"/>
      <c r="G860" s="21"/>
      <c r="H860" s="21"/>
    </row>
    <row r="861" spans="4:8" x14ac:dyDescent="0.25">
      <c r="F861" s="3"/>
      <c r="G861" s="21"/>
      <c r="H861" s="21"/>
    </row>
    <row r="862" spans="4:8" x14ac:dyDescent="0.25">
      <c r="F862" s="3"/>
      <c r="G862" s="21"/>
      <c r="H862" s="21"/>
    </row>
    <row r="863" spans="4:8" x14ac:dyDescent="0.25">
      <c r="F863" s="3"/>
      <c r="G863" s="21"/>
      <c r="H863" s="21"/>
    </row>
    <row r="864" spans="4:8" x14ac:dyDescent="0.25">
      <c r="F864" s="3"/>
      <c r="G864" s="21"/>
      <c r="H864" s="21"/>
    </row>
    <row r="865" spans="6:8" x14ac:dyDescent="0.25">
      <c r="F865" s="3"/>
      <c r="G865" s="21"/>
      <c r="H865" s="21"/>
    </row>
    <row r="866" spans="6:8" x14ac:dyDescent="0.25">
      <c r="F866" s="3"/>
      <c r="G866" s="21"/>
      <c r="H866" s="21"/>
    </row>
    <row r="867" spans="6:8" x14ac:dyDescent="0.25">
      <c r="F867" s="3"/>
      <c r="G867" s="21"/>
      <c r="H867" s="21"/>
    </row>
    <row r="868" spans="6:8" x14ac:dyDescent="0.25">
      <c r="F868" s="3"/>
      <c r="G868" s="21"/>
      <c r="H868" s="21"/>
    </row>
    <row r="869" spans="6:8" x14ac:dyDescent="0.25">
      <c r="F869" s="3"/>
      <c r="G869" s="21"/>
      <c r="H869" s="21"/>
    </row>
    <row r="870" spans="6:8" x14ac:dyDescent="0.25">
      <c r="F870" s="3"/>
      <c r="G870" s="21"/>
      <c r="H870" s="21"/>
    </row>
    <row r="871" spans="6:8" x14ac:dyDescent="0.25">
      <c r="F871" s="3"/>
      <c r="G871" s="21"/>
      <c r="H871" s="21"/>
    </row>
    <row r="872" spans="6:8" x14ac:dyDescent="0.25">
      <c r="F872" s="3"/>
      <c r="G872" s="21"/>
      <c r="H872" s="21"/>
    </row>
    <row r="873" spans="6:8" x14ac:dyDescent="0.25">
      <c r="F873" s="3"/>
      <c r="G873" s="21"/>
      <c r="H873" s="21"/>
    </row>
    <row r="874" spans="6:8" x14ac:dyDescent="0.25">
      <c r="F874" s="3"/>
      <c r="G874" s="21"/>
      <c r="H874" s="21"/>
    </row>
    <row r="875" spans="6:8" x14ac:dyDescent="0.25">
      <c r="F875" s="3"/>
      <c r="G875" s="21"/>
      <c r="H875" s="21"/>
    </row>
    <row r="876" spans="6:8" x14ac:dyDescent="0.25">
      <c r="F876" s="3"/>
      <c r="G876" s="21"/>
      <c r="H876" s="21"/>
    </row>
    <row r="877" spans="6:8" x14ac:dyDescent="0.25">
      <c r="F877" s="3"/>
      <c r="G877" s="21"/>
      <c r="H877" s="21"/>
    </row>
    <row r="878" spans="6:8" x14ac:dyDescent="0.25">
      <c r="F878" s="3"/>
      <c r="G878" s="21"/>
      <c r="H878" s="21"/>
    </row>
    <row r="879" spans="6:8" x14ac:dyDescent="0.25">
      <c r="F879" s="3"/>
      <c r="G879" s="21"/>
      <c r="H879" s="21"/>
    </row>
    <row r="880" spans="6:8" x14ac:dyDescent="0.25">
      <c r="F880" s="3"/>
      <c r="G880" s="21"/>
      <c r="H880" s="21"/>
    </row>
    <row r="881" spans="6:8" x14ac:dyDescent="0.25">
      <c r="F881" s="3"/>
      <c r="G881" s="21"/>
      <c r="H881" s="21"/>
    </row>
    <row r="882" spans="6:8" x14ac:dyDescent="0.25">
      <c r="F882" s="3"/>
      <c r="G882" s="21"/>
      <c r="H882" s="21"/>
    </row>
    <row r="883" spans="6:8" x14ac:dyDescent="0.25">
      <c r="F883" s="3"/>
      <c r="G883" s="21"/>
      <c r="H883" s="21"/>
    </row>
    <row r="884" spans="6:8" x14ac:dyDescent="0.25">
      <c r="F884" s="3"/>
      <c r="G884" s="21"/>
      <c r="H884" s="21"/>
    </row>
    <row r="885" spans="6:8" x14ac:dyDescent="0.25">
      <c r="F885" s="3"/>
      <c r="G885" s="21"/>
      <c r="H885" s="21"/>
    </row>
    <row r="886" spans="6:8" x14ac:dyDescent="0.25">
      <c r="F886" s="3"/>
      <c r="G886" s="21"/>
      <c r="H886" s="21"/>
    </row>
    <row r="887" spans="6:8" x14ac:dyDescent="0.25">
      <c r="F887" s="3"/>
      <c r="G887" s="21"/>
      <c r="H887" s="21"/>
    </row>
    <row r="888" spans="6:8" x14ac:dyDescent="0.25">
      <c r="F888" s="3"/>
      <c r="G888" s="21"/>
      <c r="H888" s="21"/>
    </row>
    <row r="889" spans="6:8" x14ac:dyDescent="0.25">
      <c r="F889" s="3"/>
      <c r="G889" s="21"/>
      <c r="H889" s="21"/>
    </row>
    <row r="890" spans="6:8" x14ac:dyDescent="0.25">
      <c r="F890" s="3"/>
      <c r="G890" s="21"/>
      <c r="H890" s="21"/>
    </row>
    <row r="891" spans="6:8" x14ac:dyDescent="0.25">
      <c r="F891" s="3"/>
      <c r="G891" s="21"/>
      <c r="H891" s="21"/>
    </row>
    <row r="892" spans="6:8" x14ac:dyDescent="0.25">
      <c r="F892" s="3"/>
      <c r="G892" s="21"/>
      <c r="H892" s="21"/>
    </row>
    <row r="893" spans="6:8" x14ac:dyDescent="0.25">
      <c r="F893" s="3"/>
      <c r="G893" s="21"/>
      <c r="H893" s="21"/>
    </row>
    <row r="894" spans="6:8" x14ac:dyDescent="0.25">
      <c r="F894" s="3"/>
      <c r="G894" s="21"/>
      <c r="H894" s="21"/>
    </row>
    <row r="895" spans="6:8" x14ac:dyDescent="0.25">
      <c r="F895" s="3"/>
      <c r="G895" s="21"/>
      <c r="H895" s="21"/>
    </row>
    <row r="896" spans="6:8" x14ac:dyDescent="0.25">
      <c r="F896" s="3"/>
      <c r="G896" s="21"/>
      <c r="H896" s="21"/>
    </row>
    <row r="897" spans="6:8" x14ac:dyDescent="0.25">
      <c r="F897" s="3"/>
      <c r="G897" s="21"/>
      <c r="H897" s="21"/>
    </row>
    <row r="898" spans="6:8" x14ac:dyDescent="0.25">
      <c r="F898" s="3"/>
      <c r="G898" s="21"/>
      <c r="H898" s="21"/>
    </row>
    <row r="899" spans="6:8" x14ac:dyDescent="0.25">
      <c r="F899" s="3"/>
      <c r="G899" s="21"/>
      <c r="H899" s="21"/>
    </row>
    <row r="900" spans="6:8" x14ac:dyDescent="0.25">
      <c r="F900" s="3"/>
      <c r="G900" s="21"/>
      <c r="H900" s="21"/>
    </row>
    <row r="901" spans="6:8" x14ac:dyDescent="0.25">
      <c r="F901" s="3"/>
      <c r="G901" s="21"/>
      <c r="H901" s="21"/>
    </row>
    <row r="902" spans="6:8" x14ac:dyDescent="0.25">
      <c r="F902" s="3"/>
      <c r="G902" s="21"/>
      <c r="H902" s="21"/>
    </row>
    <row r="903" spans="6:8" x14ac:dyDescent="0.25">
      <c r="F903" s="3"/>
      <c r="G903" s="21"/>
      <c r="H903" s="21"/>
    </row>
    <row r="904" spans="6:8" x14ac:dyDescent="0.25">
      <c r="F904" s="3"/>
      <c r="G904" s="21"/>
      <c r="H904" s="21"/>
    </row>
    <row r="905" spans="6:8" x14ac:dyDescent="0.25">
      <c r="F905" s="3"/>
      <c r="G905" s="21"/>
      <c r="H905" s="21"/>
    </row>
    <row r="906" spans="6:8" x14ac:dyDescent="0.25">
      <c r="F906" s="3"/>
      <c r="G906" s="21"/>
      <c r="H906" s="21"/>
    </row>
    <row r="907" spans="6:8" x14ac:dyDescent="0.25">
      <c r="F907" s="3"/>
      <c r="G907" s="21"/>
      <c r="H907" s="21"/>
    </row>
    <row r="908" spans="6:8" x14ac:dyDescent="0.25">
      <c r="F908" s="3"/>
      <c r="G908" s="21"/>
      <c r="H908" s="21"/>
    </row>
    <row r="909" spans="6:8" x14ac:dyDescent="0.25">
      <c r="F909" s="3"/>
      <c r="G909" s="21"/>
      <c r="H909" s="21"/>
    </row>
    <row r="910" spans="6:8" x14ac:dyDescent="0.25">
      <c r="F910" s="3"/>
      <c r="G910" s="21"/>
      <c r="H910" s="21"/>
    </row>
    <row r="911" spans="6:8" x14ac:dyDescent="0.25">
      <c r="F911" s="3"/>
      <c r="G911" s="21"/>
      <c r="H911" s="21"/>
    </row>
    <row r="912" spans="6:8" x14ac:dyDescent="0.25">
      <c r="F912" s="3"/>
      <c r="G912" s="21"/>
      <c r="H912" s="21"/>
    </row>
    <row r="913" spans="6:8" x14ac:dyDescent="0.25">
      <c r="F913" s="3"/>
      <c r="G913" s="21"/>
      <c r="H913" s="21"/>
    </row>
    <row r="914" spans="6:8" x14ac:dyDescent="0.25">
      <c r="F914" s="3"/>
      <c r="G914" s="21"/>
      <c r="H914" s="21"/>
    </row>
    <row r="915" spans="6:8" x14ac:dyDescent="0.25">
      <c r="F915" s="3"/>
      <c r="G915" s="21"/>
      <c r="H915" s="21"/>
    </row>
    <row r="916" spans="6:8" x14ac:dyDescent="0.25">
      <c r="F916" s="3"/>
      <c r="G916" s="21"/>
      <c r="H916" s="21"/>
    </row>
    <row r="917" spans="6:8" x14ac:dyDescent="0.25">
      <c r="F917" s="3"/>
      <c r="G917" s="21"/>
      <c r="H917" s="21"/>
    </row>
    <row r="918" spans="6:8" x14ac:dyDescent="0.25">
      <c r="F918" s="3"/>
      <c r="G918" s="21"/>
      <c r="H918" s="21"/>
    </row>
    <row r="919" spans="6:8" x14ac:dyDescent="0.25">
      <c r="F919" s="3"/>
      <c r="G919" s="21"/>
      <c r="H919" s="21"/>
    </row>
    <row r="920" spans="6:8" x14ac:dyDescent="0.25">
      <c r="F920" s="3"/>
      <c r="G920" s="21"/>
      <c r="H920" s="21"/>
    </row>
    <row r="921" spans="6:8" x14ac:dyDescent="0.25">
      <c r="F921" s="3"/>
      <c r="G921" s="21"/>
      <c r="H921" s="21"/>
    </row>
    <row r="922" spans="6:8" x14ac:dyDescent="0.25">
      <c r="F922" s="3"/>
      <c r="G922" s="21"/>
      <c r="H922" s="21"/>
    </row>
    <row r="923" spans="6:8" x14ac:dyDescent="0.25">
      <c r="F923" s="3"/>
      <c r="G923" s="21"/>
      <c r="H923" s="21"/>
    </row>
    <row r="924" spans="6:8" x14ac:dyDescent="0.25">
      <c r="F924" s="3"/>
      <c r="G924" s="21"/>
      <c r="H924" s="21"/>
    </row>
    <row r="925" spans="6:8" x14ac:dyDescent="0.25">
      <c r="F925" s="3"/>
      <c r="G925" s="21"/>
      <c r="H925" s="21"/>
    </row>
    <row r="926" spans="6:8" x14ac:dyDescent="0.25">
      <c r="F926" s="3"/>
      <c r="G926" s="21"/>
      <c r="H926" s="21"/>
    </row>
    <row r="927" spans="6:8" x14ac:dyDescent="0.25">
      <c r="F927" s="3"/>
      <c r="G927" s="21"/>
      <c r="H927" s="21"/>
    </row>
    <row r="928" spans="6:8" x14ac:dyDescent="0.25">
      <c r="F928" s="3"/>
      <c r="G928" s="21"/>
      <c r="H928" s="21"/>
    </row>
    <row r="929" spans="6:8" x14ac:dyDescent="0.25">
      <c r="F929" s="3"/>
      <c r="G929" s="21"/>
      <c r="H929" s="21"/>
    </row>
    <row r="930" spans="6:8" x14ac:dyDescent="0.25">
      <c r="F930" s="3"/>
      <c r="G930" s="21"/>
      <c r="H930" s="21"/>
    </row>
    <row r="931" spans="6:8" x14ac:dyDescent="0.25">
      <c r="F931" s="3"/>
      <c r="G931" s="21"/>
      <c r="H931" s="21"/>
    </row>
    <row r="932" spans="6:8" x14ac:dyDescent="0.25">
      <c r="F932" s="3"/>
      <c r="G932" s="21"/>
      <c r="H932" s="21"/>
    </row>
    <row r="933" spans="6:8" x14ac:dyDescent="0.25">
      <c r="F933" s="3"/>
      <c r="G933" s="21"/>
      <c r="H933" s="21"/>
    </row>
    <row r="934" spans="6:8" x14ac:dyDescent="0.25">
      <c r="F934" s="3"/>
      <c r="G934" s="21"/>
      <c r="H934" s="21"/>
    </row>
    <row r="935" spans="6:8" x14ac:dyDescent="0.25">
      <c r="F935" s="3"/>
      <c r="G935" s="21"/>
      <c r="H935" s="21"/>
    </row>
    <row r="936" spans="6:8" x14ac:dyDescent="0.25">
      <c r="F936" s="3"/>
      <c r="G936" s="21"/>
      <c r="H936" s="21"/>
    </row>
    <row r="937" spans="6:8" x14ac:dyDescent="0.25">
      <c r="F937" s="3"/>
      <c r="G937" s="21"/>
      <c r="H937" s="21"/>
    </row>
    <row r="938" spans="6:8" x14ac:dyDescent="0.25">
      <c r="F938" s="3"/>
      <c r="G938" s="21"/>
      <c r="H938" s="21"/>
    </row>
    <row r="939" spans="6:8" x14ac:dyDescent="0.25">
      <c r="F939" s="3"/>
      <c r="G939" s="21"/>
      <c r="H939" s="21"/>
    </row>
    <row r="940" spans="6:8" x14ac:dyDescent="0.25">
      <c r="F940" s="3"/>
      <c r="G940" s="21"/>
      <c r="H940" s="21"/>
    </row>
    <row r="941" spans="6:8" x14ac:dyDescent="0.25">
      <c r="F941" s="3"/>
      <c r="G941" s="21"/>
      <c r="H941" s="21"/>
    </row>
    <row r="942" spans="6:8" x14ac:dyDescent="0.25">
      <c r="F942" s="3"/>
      <c r="G942" s="21"/>
      <c r="H942" s="21"/>
    </row>
    <row r="943" spans="6:8" x14ac:dyDescent="0.25">
      <c r="F943" s="3"/>
      <c r="G943" s="21"/>
      <c r="H943" s="21"/>
    </row>
    <row r="944" spans="6:8" x14ac:dyDescent="0.25">
      <c r="F944" s="3"/>
      <c r="G944" s="21"/>
      <c r="H944" s="21"/>
    </row>
    <row r="945" spans="6:8" x14ac:dyDescent="0.25">
      <c r="F945" s="3"/>
      <c r="G945" s="21"/>
      <c r="H945" s="21"/>
    </row>
    <row r="946" spans="6:8" x14ac:dyDescent="0.25">
      <c r="F946" s="3"/>
      <c r="G946" s="21"/>
      <c r="H946" s="21"/>
    </row>
    <row r="947" spans="6:8" x14ac:dyDescent="0.25">
      <c r="F947" s="3"/>
      <c r="G947" s="21"/>
      <c r="H947" s="21"/>
    </row>
    <row r="948" spans="6:8" x14ac:dyDescent="0.25">
      <c r="F948" s="3"/>
      <c r="G948" s="21"/>
      <c r="H948" s="21"/>
    </row>
    <row r="949" spans="6:8" x14ac:dyDescent="0.25">
      <c r="F949" s="3"/>
      <c r="G949" s="21"/>
      <c r="H949" s="21"/>
    </row>
    <row r="950" spans="6:8" x14ac:dyDescent="0.25">
      <c r="F950" s="3"/>
      <c r="G950" s="21"/>
      <c r="H950" s="21"/>
    </row>
    <row r="951" spans="6:8" x14ac:dyDescent="0.25">
      <c r="F951" s="3"/>
      <c r="G951" s="21"/>
      <c r="H951" s="21"/>
    </row>
    <row r="952" spans="6:8" x14ac:dyDescent="0.25">
      <c r="F952" s="3"/>
      <c r="G952" s="21"/>
      <c r="H952" s="21"/>
    </row>
    <row r="953" spans="6:8" x14ac:dyDescent="0.25">
      <c r="F953" s="3"/>
      <c r="G953" s="21"/>
      <c r="H953" s="21"/>
    </row>
    <row r="954" spans="6:8" x14ac:dyDescent="0.25">
      <c r="F954" s="3"/>
      <c r="G954" s="21"/>
      <c r="H954" s="21"/>
    </row>
    <row r="955" spans="6:8" x14ac:dyDescent="0.25">
      <c r="F955" s="3"/>
      <c r="G955" s="21"/>
      <c r="H955" s="21"/>
    </row>
    <row r="956" spans="6:8" x14ac:dyDescent="0.25">
      <c r="F956" s="3"/>
      <c r="G956" s="21"/>
      <c r="H956" s="21"/>
    </row>
    <row r="957" spans="6:8" x14ac:dyDescent="0.25">
      <c r="F957" s="3"/>
      <c r="G957" s="21"/>
      <c r="H957" s="21"/>
    </row>
    <row r="958" spans="6:8" x14ac:dyDescent="0.25">
      <c r="F958" s="3"/>
      <c r="G958" s="21"/>
      <c r="H958" s="21"/>
    </row>
    <row r="959" spans="6:8" x14ac:dyDescent="0.25">
      <c r="F959" s="3"/>
      <c r="G959" s="21"/>
      <c r="H959" s="21"/>
    </row>
    <row r="960" spans="6:8" x14ac:dyDescent="0.25">
      <c r="F960" s="3"/>
      <c r="G960" s="21"/>
      <c r="H960" s="21"/>
    </row>
    <row r="961" spans="6:8" x14ac:dyDescent="0.25">
      <c r="F961" s="3"/>
      <c r="G961" s="21"/>
      <c r="H961" s="21"/>
    </row>
    <row r="962" spans="6:8" x14ac:dyDescent="0.25">
      <c r="F962" s="3"/>
      <c r="G962" s="21"/>
      <c r="H962" s="21"/>
    </row>
    <row r="963" spans="6:8" x14ac:dyDescent="0.25">
      <c r="F963" s="3"/>
      <c r="G963" s="21"/>
      <c r="H963" s="21"/>
    </row>
    <row r="964" spans="6:8" x14ac:dyDescent="0.25">
      <c r="F964" s="3"/>
      <c r="G964" s="21"/>
      <c r="H964" s="21"/>
    </row>
    <row r="965" spans="6:8" x14ac:dyDescent="0.25">
      <c r="F965" s="3"/>
      <c r="G965" s="21"/>
      <c r="H965" s="21"/>
    </row>
    <row r="966" spans="6:8" x14ac:dyDescent="0.25">
      <c r="F966" s="3"/>
      <c r="G966" s="21"/>
      <c r="H966" s="21"/>
    </row>
    <row r="967" spans="6:8" x14ac:dyDescent="0.25">
      <c r="F967" s="3"/>
      <c r="G967" s="21"/>
      <c r="H967" s="21"/>
    </row>
    <row r="968" spans="6:8" x14ac:dyDescent="0.25">
      <c r="F968" s="3"/>
      <c r="G968" s="21"/>
      <c r="H968" s="21"/>
    </row>
    <row r="969" spans="6:8" x14ac:dyDescent="0.25">
      <c r="F969" s="3"/>
      <c r="G969" s="21"/>
      <c r="H969" s="21"/>
    </row>
    <row r="970" spans="6:8" x14ac:dyDescent="0.25">
      <c r="F970" s="3"/>
      <c r="G970" s="21"/>
      <c r="H970" s="21"/>
    </row>
    <row r="971" spans="6:8" x14ac:dyDescent="0.25">
      <c r="F971" s="3"/>
      <c r="G971" s="21"/>
      <c r="H971" s="21"/>
    </row>
    <row r="972" spans="6:8" x14ac:dyDescent="0.25">
      <c r="F972" s="3"/>
      <c r="G972" s="21"/>
      <c r="H972" s="21"/>
    </row>
    <row r="973" spans="6:8" x14ac:dyDescent="0.25">
      <c r="F973" s="3"/>
      <c r="G973" s="21"/>
      <c r="H973" s="21"/>
    </row>
    <row r="974" spans="6:8" x14ac:dyDescent="0.25">
      <c r="F974" s="3"/>
      <c r="G974" s="21"/>
      <c r="H974" s="21"/>
    </row>
    <row r="975" spans="6:8" x14ac:dyDescent="0.25">
      <c r="F975" s="3"/>
      <c r="G975" s="21"/>
      <c r="H975" s="21"/>
    </row>
    <row r="976" spans="6:8" x14ac:dyDescent="0.25">
      <c r="F976" s="3"/>
      <c r="G976" s="21"/>
      <c r="H976" s="21"/>
    </row>
    <row r="977" spans="6:8" x14ac:dyDescent="0.25">
      <c r="F977" s="3"/>
      <c r="G977" s="21"/>
      <c r="H977" s="21"/>
    </row>
    <row r="978" spans="6:8" x14ac:dyDescent="0.25">
      <c r="F978" s="3"/>
      <c r="G978" s="21"/>
      <c r="H978" s="21"/>
    </row>
    <row r="979" spans="6:8" x14ac:dyDescent="0.25">
      <c r="F979" s="3"/>
      <c r="G979" s="21"/>
      <c r="H979" s="21"/>
    </row>
    <row r="980" spans="6:8" x14ac:dyDescent="0.25">
      <c r="F980" s="3"/>
      <c r="G980" s="21"/>
      <c r="H980" s="21"/>
    </row>
    <row r="981" spans="6:8" x14ac:dyDescent="0.25">
      <c r="F981" s="3"/>
      <c r="G981" s="21"/>
      <c r="H981" s="21"/>
    </row>
    <row r="982" spans="6:8" x14ac:dyDescent="0.25">
      <c r="F982" s="3"/>
      <c r="G982" s="21"/>
      <c r="H982" s="21"/>
    </row>
    <row r="983" spans="6:8" x14ac:dyDescent="0.25">
      <c r="F983" s="3"/>
      <c r="G983" s="21"/>
      <c r="H983" s="21"/>
    </row>
    <row r="984" spans="6:8" x14ac:dyDescent="0.25">
      <c r="F984" s="3"/>
      <c r="G984" s="21"/>
      <c r="H984" s="21"/>
    </row>
    <row r="985" spans="6:8" x14ac:dyDescent="0.25">
      <c r="F985" s="3"/>
      <c r="G985" s="21"/>
      <c r="H985" s="21"/>
    </row>
    <row r="986" spans="6:8" x14ac:dyDescent="0.25">
      <c r="F986" s="3"/>
      <c r="G986" s="21"/>
      <c r="H986" s="21"/>
    </row>
    <row r="987" spans="6:8" x14ac:dyDescent="0.25">
      <c r="F987" s="3"/>
      <c r="G987" s="21"/>
      <c r="H987" s="21"/>
    </row>
    <row r="988" spans="6:8" x14ac:dyDescent="0.25">
      <c r="F988" s="3"/>
      <c r="G988" s="21"/>
      <c r="H988" s="21"/>
    </row>
    <row r="989" spans="6:8" x14ac:dyDescent="0.25">
      <c r="F989" s="3"/>
      <c r="G989" s="21"/>
      <c r="H989" s="21"/>
    </row>
    <row r="990" spans="6:8" x14ac:dyDescent="0.25">
      <c r="F990" s="3"/>
      <c r="G990" s="21"/>
      <c r="H990" s="21"/>
    </row>
    <row r="991" spans="6:8" x14ac:dyDescent="0.25">
      <c r="F991" s="3"/>
      <c r="G991" s="21"/>
      <c r="H991" s="21"/>
    </row>
    <row r="992" spans="6:8" x14ac:dyDescent="0.25">
      <c r="F992" s="3"/>
      <c r="G992" s="21"/>
      <c r="H992" s="21"/>
    </row>
    <row r="993" spans="6:8" x14ac:dyDescent="0.25">
      <c r="F993" s="3"/>
      <c r="G993" s="21"/>
      <c r="H993" s="21"/>
    </row>
    <row r="994" spans="6:8" x14ac:dyDescent="0.25">
      <c r="F994" s="3"/>
      <c r="G994" s="21"/>
      <c r="H994" s="21"/>
    </row>
    <row r="995" spans="6:8" x14ac:dyDescent="0.25">
      <c r="F995" s="3"/>
      <c r="G995" s="21"/>
      <c r="H995" s="21"/>
    </row>
    <row r="996" spans="6:8" x14ac:dyDescent="0.25">
      <c r="F996" s="3"/>
      <c r="G996" s="21"/>
      <c r="H996" s="21"/>
    </row>
    <row r="997" spans="6:8" x14ac:dyDescent="0.25">
      <c r="F997" s="3"/>
      <c r="G997" s="21"/>
      <c r="H997" s="21"/>
    </row>
    <row r="998" spans="6:8" x14ac:dyDescent="0.25">
      <c r="F998" s="3"/>
      <c r="G998" s="21"/>
      <c r="H998" s="21"/>
    </row>
    <row r="999" spans="6:8" x14ac:dyDescent="0.25">
      <c r="F999" s="3"/>
      <c r="G999" s="21"/>
      <c r="H999" s="21"/>
    </row>
    <row r="1000" spans="6:8" x14ac:dyDescent="0.25">
      <c r="F1000" s="3"/>
      <c r="G1000" s="21"/>
      <c r="H1000" s="21"/>
    </row>
    <row r="1001" spans="6:8" x14ac:dyDescent="0.25">
      <c r="F1001" s="3"/>
      <c r="G1001" s="21"/>
      <c r="H1001" s="21"/>
    </row>
    <row r="1002" spans="6:8" x14ac:dyDescent="0.25">
      <c r="F1002" s="3"/>
      <c r="G1002" s="21"/>
      <c r="H1002" s="21"/>
    </row>
    <row r="1003" spans="6:8" x14ac:dyDescent="0.25">
      <c r="F1003" s="3"/>
      <c r="G1003" s="21"/>
      <c r="H1003" s="21"/>
    </row>
    <row r="1004" spans="6:8" x14ac:dyDescent="0.25">
      <c r="F1004" s="3"/>
      <c r="G1004" s="21"/>
      <c r="H1004" s="21"/>
    </row>
    <row r="1005" spans="6:8" x14ac:dyDescent="0.25">
      <c r="F1005" s="3"/>
      <c r="G1005" s="21"/>
      <c r="H1005" s="21"/>
    </row>
    <row r="1006" spans="6:8" x14ac:dyDescent="0.25">
      <c r="F1006" s="3"/>
      <c r="G1006" s="21"/>
      <c r="H1006" s="21"/>
    </row>
    <row r="1007" spans="6:8" x14ac:dyDescent="0.25">
      <c r="F1007" s="3"/>
      <c r="G1007" s="21"/>
      <c r="H1007" s="21"/>
    </row>
    <row r="1008" spans="6:8" x14ac:dyDescent="0.25">
      <c r="F1008" s="3"/>
      <c r="G1008" s="21"/>
      <c r="H1008" s="21"/>
    </row>
    <row r="1009" spans="6:8" x14ac:dyDescent="0.25">
      <c r="F1009" s="3"/>
      <c r="G1009" s="21"/>
      <c r="H1009" s="21"/>
    </row>
  </sheetData>
  <autoFilter ref="A2:K834"/>
  <conditionalFormatting sqref="D82">
    <cfRule type="expression" dxfId="362" priority="2">
      <formula>I82&gt;H82</formula>
    </cfRule>
  </conditionalFormatting>
  <conditionalFormatting sqref="A3:A83">
    <cfRule type="duplicateValues" dxfId="361" priority="30"/>
  </conditionalFormatting>
  <dataValidations count="1">
    <dataValidation type="list" allowBlank="1" showInputMessage="1" showErrorMessage="1" sqref="E860">
      <formula1>lstFormateur</formula1>
    </dataValidation>
  </dataValidations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00B050"/>
    <pageSetUpPr fitToPage="1"/>
  </sheetPr>
  <dimension ref="C1:L32"/>
  <sheetViews>
    <sheetView zoomScale="55" zoomScaleNormal="55" workbookViewId="0">
      <selection activeCell="F1" sqref="F1"/>
    </sheetView>
  </sheetViews>
  <sheetFormatPr defaultColWidth="11.42578125" defaultRowHeight="15" x14ac:dyDescent="0.25"/>
  <cols>
    <col min="2" max="2" width="22.5703125" customWidth="1"/>
    <col min="3" max="3" width="6" bestFit="1" customWidth="1"/>
    <col min="4" max="9" width="25.140625" customWidth="1"/>
    <col min="10" max="10" width="4.85546875" customWidth="1"/>
    <col min="11" max="11" width="7" customWidth="1"/>
    <col min="12" max="12" width="11.28515625" bestFit="1" customWidth="1"/>
    <col min="13" max="13" width="15.140625" customWidth="1"/>
  </cols>
  <sheetData>
    <row r="1" spans="3:12" ht="24.95" customHeight="1" x14ac:dyDescent="0.4">
      <c r="E1" s="7" t="s">
        <v>59</v>
      </c>
      <c r="F1" s="34" t="s">
        <v>212</v>
      </c>
      <c r="G1" s="34"/>
      <c r="H1" s="34"/>
    </row>
    <row r="2" spans="3:12" ht="24.95" customHeight="1" x14ac:dyDescent="0.25"/>
    <row r="3" spans="3:12" ht="24.95" customHeight="1" x14ac:dyDescent="0.25">
      <c r="D3" s="200" t="s">
        <v>94</v>
      </c>
      <c r="E3" s="200"/>
      <c r="F3" s="200"/>
      <c r="G3" s="200"/>
      <c r="H3" s="200"/>
      <c r="I3" s="200"/>
      <c r="J3" s="200"/>
    </row>
    <row r="4" spans="3:12" ht="15.75" thickBot="1" x14ac:dyDescent="0.3"/>
    <row r="5" spans="3:12" ht="64.5" thickBot="1" x14ac:dyDescent="1.1000000000000001">
      <c r="D5" s="197" t="s">
        <v>37</v>
      </c>
      <c r="E5" s="198"/>
      <c r="F5" s="198"/>
      <c r="G5" s="198"/>
      <c r="H5" s="198"/>
      <c r="I5" s="199"/>
    </row>
    <row r="6" spans="3:12" ht="26.25" x14ac:dyDescent="0.4">
      <c r="E6" s="7" t="s">
        <v>59</v>
      </c>
      <c r="F6" s="201" t="str">
        <f>F1</f>
        <v>nom et prenom</v>
      </c>
      <c r="G6" s="201"/>
      <c r="H6" s="201"/>
      <c r="K6" t="s">
        <v>51</v>
      </c>
      <c r="L6" s="58">
        <f>IFERROR(MATCH(D9,#REF!,0),1000)</f>
        <v>1000</v>
      </c>
    </row>
    <row r="7" spans="3:12" ht="7.5" customHeight="1" thickBot="1" x14ac:dyDescent="0.3"/>
    <row r="8" spans="3:12" ht="24.95" customHeight="1" x14ac:dyDescent="0.25">
      <c r="C8" s="6"/>
      <c r="D8" s="139">
        <f>D9</f>
        <v>44340</v>
      </c>
      <c r="E8" s="139">
        <f t="shared" ref="E8:I9" si="0">D8+1</f>
        <v>44341</v>
      </c>
      <c r="F8" s="139">
        <f t="shared" si="0"/>
        <v>44342</v>
      </c>
      <c r="G8" s="139">
        <f t="shared" si="0"/>
        <v>44343</v>
      </c>
      <c r="H8" s="139">
        <f t="shared" si="0"/>
        <v>44344</v>
      </c>
      <c r="I8" s="140">
        <f t="shared" si="0"/>
        <v>44345</v>
      </c>
    </row>
    <row r="9" spans="3:12" ht="24.95" customHeight="1" thickBot="1" x14ac:dyDescent="0.3">
      <c r="C9" s="72"/>
      <c r="D9" s="141">
        <v>44340</v>
      </c>
      <c r="E9" s="141">
        <f t="shared" si="0"/>
        <v>44341</v>
      </c>
      <c r="F9" s="141">
        <f t="shared" si="0"/>
        <v>44342</v>
      </c>
      <c r="G9" s="141">
        <f t="shared" si="0"/>
        <v>44343</v>
      </c>
      <c r="H9" s="141">
        <f t="shared" si="0"/>
        <v>44344</v>
      </c>
      <c r="I9" s="142">
        <f t="shared" si="0"/>
        <v>44345</v>
      </c>
    </row>
    <row r="10" spans="3:12" ht="24.95" customHeight="1" thickTop="1" x14ac:dyDescent="0.25">
      <c r="C10" s="71">
        <v>0.33333333333333331</v>
      </c>
      <c r="D10" s="18"/>
      <c r="E10" s="18"/>
      <c r="F10" s="18"/>
      <c r="G10" s="18"/>
      <c r="H10" s="18"/>
      <c r="I10" s="49"/>
    </row>
    <row r="11" spans="3:12" ht="24.95" customHeight="1" thickBot="1" x14ac:dyDescent="0.3">
      <c r="C11" s="74">
        <v>0.35416666666666669</v>
      </c>
      <c r="D11" s="15"/>
      <c r="E11" s="15"/>
      <c r="F11" s="15"/>
      <c r="G11" s="15"/>
      <c r="H11" s="15"/>
      <c r="I11" s="50"/>
    </row>
    <row r="12" spans="3:12" ht="24.95" customHeight="1" thickTop="1" x14ac:dyDescent="0.25">
      <c r="C12" s="73">
        <v>0.375</v>
      </c>
      <c r="D12" s="14"/>
      <c r="E12" s="14"/>
      <c r="F12" s="14"/>
      <c r="G12" s="14"/>
      <c r="H12" s="14"/>
      <c r="I12" s="51"/>
    </row>
    <row r="13" spans="3:12" ht="24.95" customHeight="1" thickBot="1" x14ac:dyDescent="0.3">
      <c r="C13" s="74">
        <v>0.39583333333333298</v>
      </c>
      <c r="D13" s="19"/>
      <c r="E13" s="19"/>
      <c r="F13" s="19"/>
      <c r="G13" s="19"/>
      <c r="H13" s="19"/>
      <c r="I13" s="52"/>
    </row>
    <row r="14" spans="3:12" ht="24.95" customHeight="1" thickTop="1" x14ac:dyDescent="0.25">
      <c r="C14" s="71">
        <v>0.41666666666666702</v>
      </c>
      <c r="D14" s="18"/>
      <c r="E14" s="18"/>
      <c r="F14" s="18"/>
      <c r="G14" s="18"/>
      <c r="H14" s="18"/>
      <c r="I14" s="49"/>
    </row>
    <row r="15" spans="3:12" ht="24.95" customHeight="1" thickBot="1" x14ac:dyDescent="0.3">
      <c r="C15" s="74">
        <v>0.4375</v>
      </c>
      <c r="D15" s="15"/>
      <c r="E15" s="15"/>
      <c r="F15" s="15"/>
      <c r="G15" s="15"/>
      <c r="H15" s="15"/>
      <c r="I15" s="50"/>
    </row>
    <row r="16" spans="3:12" ht="24.95" customHeight="1" thickTop="1" x14ac:dyDescent="0.25">
      <c r="C16" s="73">
        <v>0.45833333333333298</v>
      </c>
      <c r="D16" s="14"/>
      <c r="E16" s="14"/>
      <c r="F16" s="14"/>
      <c r="G16" s="14"/>
      <c r="H16" s="14"/>
      <c r="I16" s="51"/>
    </row>
    <row r="17" spans="3:9" ht="24.95" customHeight="1" thickBot="1" x14ac:dyDescent="0.3">
      <c r="C17" s="74">
        <v>0.47916666666666702</v>
      </c>
      <c r="D17" s="19"/>
      <c r="E17" s="19"/>
      <c r="F17" s="19"/>
      <c r="G17" s="19"/>
      <c r="H17" s="19"/>
      <c r="I17" s="52"/>
    </row>
    <row r="18" spans="3:9" ht="24.95" customHeight="1" thickTop="1" x14ac:dyDescent="0.25">
      <c r="C18" s="71">
        <v>0.5</v>
      </c>
      <c r="D18" s="54"/>
      <c r="E18" s="54"/>
      <c r="F18" s="54"/>
      <c r="G18" s="54"/>
      <c r="H18" s="54"/>
      <c r="I18" s="55"/>
    </row>
    <row r="19" spans="3:9" ht="24.95" customHeight="1" thickBot="1" x14ac:dyDescent="0.3">
      <c r="C19" s="69">
        <v>0.52083333333333304</v>
      </c>
      <c r="D19" s="56"/>
      <c r="E19" s="56"/>
      <c r="F19" s="56"/>
      <c r="G19" s="56"/>
      <c r="H19" s="56"/>
      <c r="I19" s="57"/>
    </row>
    <row r="20" spans="3:9" ht="24.95" customHeight="1" thickTop="1" x14ac:dyDescent="0.25">
      <c r="C20" s="70">
        <v>0.54166666666666696</v>
      </c>
      <c r="D20" s="18"/>
      <c r="E20" s="18"/>
      <c r="F20" s="18"/>
      <c r="G20" s="18"/>
      <c r="H20" s="59"/>
      <c r="I20" s="64"/>
    </row>
    <row r="21" spans="3:9" ht="24.95" customHeight="1" thickBot="1" x14ac:dyDescent="0.3">
      <c r="C21" s="74">
        <v>0.5625</v>
      </c>
      <c r="D21" s="15"/>
      <c r="E21" s="15"/>
      <c r="F21" s="15"/>
      <c r="G21" s="15"/>
      <c r="H21" s="60"/>
      <c r="I21" s="65"/>
    </row>
    <row r="22" spans="3:9" ht="24.95" customHeight="1" thickTop="1" x14ac:dyDescent="0.25">
      <c r="C22" s="71">
        <v>0.58333333333333304</v>
      </c>
      <c r="D22" s="20"/>
      <c r="E22" s="20"/>
      <c r="F22" s="20"/>
      <c r="G22" s="20"/>
      <c r="H22" s="61"/>
      <c r="I22" s="66"/>
    </row>
    <row r="23" spans="3:9" ht="24.95" customHeight="1" thickBot="1" x14ac:dyDescent="0.3">
      <c r="C23" s="74">
        <v>0.60416666666666696</v>
      </c>
      <c r="D23" s="19"/>
      <c r="E23" s="19"/>
      <c r="F23" s="19"/>
      <c r="G23" s="19"/>
      <c r="H23" s="62"/>
      <c r="I23" s="67"/>
    </row>
    <row r="24" spans="3:9" ht="24.95" customHeight="1" thickTop="1" x14ac:dyDescent="0.25">
      <c r="C24" s="73">
        <v>0.625</v>
      </c>
      <c r="D24" s="18"/>
      <c r="E24" s="18"/>
      <c r="F24" s="18"/>
      <c r="G24" s="18"/>
      <c r="H24" s="59"/>
      <c r="I24" s="64"/>
    </row>
    <row r="25" spans="3:9" ht="24.95" customHeight="1" thickBot="1" x14ac:dyDescent="0.3">
      <c r="C25" s="74">
        <v>0.64583333333333404</v>
      </c>
      <c r="D25" s="15"/>
      <c r="E25" s="15"/>
      <c r="F25" s="15"/>
      <c r="G25" s="15"/>
      <c r="H25" s="60"/>
      <c r="I25" s="65"/>
    </row>
    <row r="26" spans="3:9" ht="24.95" customHeight="1" thickTop="1" x14ac:dyDescent="0.25">
      <c r="C26" s="71">
        <v>0.66666666666666696</v>
      </c>
      <c r="D26" s="20"/>
      <c r="E26" s="20"/>
      <c r="F26" s="20"/>
      <c r="G26" s="20"/>
      <c r="H26" s="61"/>
      <c r="I26" s="66"/>
    </row>
    <row r="27" spans="3:9" ht="24.95" customHeight="1" thickBot="1" x14ac:dyDescent="0.3">
      <c r="C27" s="74">
        <v>0.6875</v>
      </c>
      <c r="D27" s="19"/>
      <c r="E27" s="19"/>
      <c r="F27" s="19"/>
      <c r="G27" s="19"/>
      <c r="H27" s="62"/>
      <c r="I27" s="67"/>
    </row>
    <row r="28" spans="3:9" ht="24.95" customHeight="1" thickTop="1" x14ac:dyDescent="0.25">
      <c r="C28" s="73">
        <v>0.70833333333333404</v>
      </c>
      <c r="D28" s="14"/>
      <c r="E28" s="14"/>
      <c r="F28" s="14"/>
      <c r="G28" s="14"/>
      <c r="H28" s="63"/>
      <c r="I28" s="68"/>
    </row>
    <row r="29" spans="3:9" ht="24.95" customHeight="1" thickBot="1" x14ac:dyDescent="0.3">
      <c r="C29" s="74">
        <v>0.72916666666666796</v>
      </c>
      <c r="D29" s="19"/>
      <c r="E29" s="19"/>
      <c r="F29" s="19"/>
      <c r="G29" s="19"/>
      <c r="H29" s="62"/>
      <c r="I29" s="67"/>
    </row>
    <row r="30" spans="3:9" ht="24.95" customHeight="1" thickTop="1" x14ac:dyDescent="0.25">
      <c r="C30" s="4"/>
    </row>
    <row r="31" spans="3:9" x14ac:dyDescent="0.25">
      <c r="H31" t="s">
        <v>95</v>
      </c>
    </row>
    <row r="32" spans="3:9" ht="21" x14ac:dyDescent="0.35">
      <c r="H32" s="48" t="s">
        <v>39</v>
      </c>
    </row>
  </sheetData>
  <mergeCells count="3">
    <mergeCell ref="D5:I5"/>
    <mergeCell ref="F6:H6"/>
    <mergeCell ref="D3:J3"/>
  </mergeCells>
  <dataValidations count="1">
    <dataValidation type="list" allowBlank="1" showInputMessage="1" showErrorMessage="1" sqref="F1:H1">
      <formula1>lstFormateur</formula1>
    </dataValidation>
  </dataValidations>
  <pageMargins left="0.25" right="0.25" top="0.75" bottom="0.75" header="0.3" footer="0.3"/>
  <pageSetup paperSize="9" scale="68" orientation="landscape" horizontalDpi="4294967294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66FF99"/>
  </sheetPr>
  <dimension ref="B1:N25"/>
  <sheetViews>
    <sheetView workbookViewId="0">
      <selection activeCell="M4" sqref="M4"/>
    </sheetView>
  </sheetViews>
  <sheetFormatPr defaultColWidth="9.140625" defaultRowHeight="15" x14ac:dyDescent="0.25"/>
  <cols>
    <col min="1" max="1" width="5.28515625" customWidth="1"/>
    <col min="2" max="2" width="23.140625" customWidth="1"/>
    <col min="3" max="3" width="29.140625" bestFit="1" customWidth="1"/>
    <col min="4" max="4" width="6.42578125" customWidth="1"/>
    <col min="5" max="5" width="15.7109375" customWidth="1"/>
    <col min="6" max="6" width="8.42578125" customWidth="1"/>
    <col min="7" max="7" width="5.28515625" customWidth="1"/>
    <col min="8" max="8" width="14.28515625" customWidth="1"/>
    <col min="9" max="9" width="9.5703125" hidden="1" customWidth="1"/>
    <col min="11" max="11" width="17.28515625" customWidth="1"/>
    <col min="12" max="12" width="6.140625" customWidth="1"/>
    <col min="13" max="13" width="27.85546875" customWidth="1"/>
  </cols>
  <sheetData>
    <row r="1" spans="2:14" ht="4.5" customHeight="1" x14ac:dyDescent="0.25"/>
    <row r="2" spans="2:14" ht="4.5" customHeight="1" x14ac:dyDescent="0.25">
      <c r="B2" s="3">
        <v>44116</v>
      </c>
    </row>
    <row r="3" spans="2:14" ht="117.75" customHeight="1" x14ac:dyDescent="0.8">
      <c r="B3" s="114" t="s">
        <v>199</v>
      </c>
      <c r="C3" s="115"/>
      <c r="D3" s="115"/>
      <c r="E3" s="115"/>
      <c r="F3" s="115"/>
      <c r="G3" s="115"/>
      <c r="H3" s="115"/>
      <c r="I3" s="206">
        <v>44075</v>
      </c>
      <c r="J3" s="41"/>
      <c r="K3" s="114" t="s">
        <v>209</v>
      </c>
    </row>
    <row r="4" spans="2:14" ht="21.75" customHeight="1" x14ac:dyDescent="0.25">
      <c r="B4" s="116" t="s">
        <v>150</v>
      </c>
      <c r="C4" s="202">
        <v>44116</v>
      </c>
      <c r="D4" s="202"/>
      <c r="E4" s="116" t="s">
        <v>151</v>
      </c>
      <c r="F4" s="202">
        <f ca="1">TODAY()</f>
        <v>44342</v>
      </c>
      <c r="G4" s="202"/>
      <c r="H4" s="203"/>
      <c r="I4" s="207"/>
      <c r="M4" s="86" t="s">
        <v>212</v>
      </c>
    </row>
    <row r="5" spans="2:14" ht="9" customHeight="1" x14ac:dyDescent="0.25">
      <c r="B5" s="158"/>
      <c r="C5" s="204"/>
      <c r="D5" s="204"/>
      <c r="E5" s="204"/>
      <c r="F5" s="204"/>
      <c r="G5" s="204"/>
      <c r="H5" s="205"/>
      <c r="I5" s="208"/>
    </row>
    <row r="6" spans="2:14" x14ac:dyDescent="0.25">
      <c r="B6" s="107" t="s">
        <v>3</v>
      </c>
      <c r="C6" s="107" t="s">
        <v>63</v>
      </c>
      <c r="D6" s="107" t="s">
        <v>64</v>
      </c>
      <c r="E6" s="107" t="s">
        <v>200</v>
      </c>
      <c r="F6" s="107" t="s">
        <v>90</v>
      </c>
      <c r="G6" s="107" t="s">
        <v>5</v>
      </c>
      <c r="H6" s="107" t="s">
        <v>92</v>
      </c>
      <c r="I6" s="117">
        <f t="shared" ref="I6" ca="1" si="0">SUM(I7:I19)</f>
        <v>0</v>
      </c>
      <c r="K6" s="173" t="s">
        <v>0</v>
      </c>
      <c r="L6" s="174" t="s">
        <v>2</v>
      </c>
      <c r="M6" s="174" t="s">
        <v>1</v>
      </c>
      <c r="N6" s="174" t="s">
        <v>4</v>
      </c>
    </row>
    <row r="7" spans="2:14" x14ac:dyDescent="0.25">
      <c r="B7" s="119" t="s">
        <v>212</v>
      </c>
      <c r="C7" s="119"/>
      <c r="D7" s="110"/>
      <c r="E7" s="112" t="e">
        <f>SUMIF(#REF!,B7,#REF!)</f>
        <v>#REF!</v>
      </c>
      <c r="F7" s="112">
        <f ca="1">SUMIFS(programmer!$H$3:$H$888889,programmer!$E$3:$E$888889,Prévision!$B7,programmer!$I$3:$I$888889,"Prog",programmer!$F$3:$F$888889,"&lt;=" &amp;Prévision!$F$4,programmer!$B$3:$B$888889,"Activités")*24*2</f>
        <v>0</v>
      </c>
      <c r="G7" s="133" t="e">
        <f ca="1">E7+(F7/2)</f>
        <v>#REF!</v>
      </c>
      <c r="H7" s="113" t="e">
        <f ca="1">G7/D7</f>
        <v>#REF!</v>
      </c>
      <c r="I7" s="118">
        <f ca="1">SUMIFS(programmer!$H$3:$H$888889,programmer!$E$3:$E$888889,Prévision!$B7,programmer!$I$3:$I$888889,"Prog",programmer!$F$3:$F$888889,"&lt;"&amp;#REF!,programmer!$F$3:$F$888889,"&gt;="&amp;I$3,programmer!$F$3:$F$888889,"&lt;=" &amp;Prévision!$F$4)*24</f>
        <v>0</v>
      </c>
      <c r="K7" s="88" t="s">
        <v>43</v>
      </c>
      <c r="L7" s="89">
        <v>1</v>
      </c>
      <c r="M7" s="104" t="s">
        <v>111</v>
      </c>
      <c r="N7" s="90">
        <v>30</v>
      </c>
    </row>
    <row r="8" spans="2:14" x14ac:dyDescent="0.25">
      <c r="B8" s="120"/>
      <c r="C8" s="120"/>
      <c r="D8" s="111"/>
      <c r="E8" s="112" t="e">
        <f>SUMIF(#REF!,B8,#REF!)</f>
        <v>#REF!</v>
      </c>
      <c r="F8" s="112">
        <f ca="1">SUMIFS(programmer!$H$3:$H$888889,programmer!$E$3:$E$888889,Prévision!$B8,programmer!$I$3:$I$888889,"Prog",programmer!$F$3:$F$888889,"&lt;=" &amp;Prévision!$F$4,programmer!$B$3:$B$888889,"Activités")*24*2</f>
        <v>0</v>
      </c>
      <c r="G8" s="133" t="e">
        <f t="shared" ref="G8:G19" ca="1" si="1">E8+(F8/2)</f>
        <v>#REF!</v>
      </c>
      <c r="H8" s="113" t="e">
        <f t="shared" ref="H8:H19" ca="1" si="2">G8/D8</f>
        <v>#REF!</v>
      </c>
      <c r="I8" s="111">
        <f ca="1">SUMIFS(programmer!$H$3:$H$888889,programmer!$E$3:$E$888889,Prévision!$B8,programmer!$I$3:$I$888889,"Prog",programmer!$F$3:$F$888889,"&lt;"&amp;#REF!,programmer!$F$3:$F$888889,"&gt;="&amp;I$3,programmer!$F$3:$F$888889,"&lt;=" &amp;Prévision!$F$4)*24</f>
        <v>0</v>
      </c>
      <c r="K8" s="88" t="s">
        <v>43</v>
      </c>
      <c r="L8" s="5">
        <v>1</v>
      </c>
      <c r="M8" s="5" t="s">
        <v>111</v>
      </c>
      <c r="N8" s="31">
        <v>30</v>
      </c>
    </row>
    <row r="9" spans="2:14" x14ac:dyDescent="0.25">
      <c r="B9" s="119"/>
      <c r="C9" s="119"/>
      <c r="D9" s="110"/>
      <c r="E9" s="112" t="e">
        <f>SUMIF(#REF!,B9,#REF!)</f>
        <v>#REF!</v>
      </c>
      <c r="F9" s="112">
        <f ca="1">SUMIFS(programmer!$H$3:$H$888889,programmer!$E$3:$E$888889,Prévision!$B9,programmer!$I$3:$I$888889,"Prog",programmer!$F$3:$F$888889,"&lt;=" &amp;Prévision!$F$4,programmer!$B$3:$B$888889,"Activités")*24*2</f>
        <v>0</v>
      </c>
      <c r="G9" s="133" t="e">
        <f t="shared" ca="1" si="1"/>
        <v>#REF!</v>
      </c>
      <c r="H9" s="113" t="e">
        <f t="shared" ca="1" si="2"/>
        <v>#REF!</v>
      </c>
      <c r="I9" s="110">
        <f ca="1">SUMIFS(programmer!$H$3:$H$888889,programmer!$E$3:$E$888889,Prévision!$B9,programmer!$I$3:$I$888889,"Prog",programmer!$F$3:$F$888889,"&lt;"&amp;#REF!,programmer!$F$3:$F$888889,"&gt;="&amp;I$3,programmer!$F$3:$F$888889,"&lt;=" &amp;Prévision!$F$4)*24</f>
        <v>0</v>
      </c>
      <c r="K9" s="88" t="s">
        <v>43</v>
      </c>
      <c r="L9" s="5">
        <v>1</v>
      </c>
      <c r="M9" s="5" t="s">
        <v>111</v>
      </c>
      <c r="N9" s="31">
        <v>30</v>
      </c>
    </row>
    <row r="10" spans="2:14" x14ac:dyDescent="0.25">
      <c r="B10" s="120"/>
      <c r="C10" s="120"/>
      <c r="D10" s="111"/>
      <c r="E10" s="112" t="e">
        <f>SUMIF(#REF!,B10,#REF!)</f>
        <v>#REF!</v>
      </c>
      <c r="F10" s="112">
        <f ca="1">SUMIFS(programmer!$H$3:$H$888889,programmer!$E$3:$E$888889,Prévision!$B10,programmer!$I$3:$I$888889,"Prog",programmer!$F$3:$F$888889,"&lt;=" &amp;Prévision!$F$4,programmer!$B$3:$B$888889,"Activités")*24*2</f>
        <v>0</v>
      </c>
      <c r="G10" s="133" t="e">
        <f t="shared" ca="1" si="1"/>
        <v>#REF!</v>
      </c>
      <c r="H10" s="113" t="e">
        <f t="shared" ca="1" si="2"/>
        <v>#REF!</v>
      </c>
      <c r="I10" s="111">
        <f ca="1">SUMIFS(programmer!$H$3:$H$888889,programmer!$E$3:$E$888889,Prévision!$B10,programmer!$I$3:$I$888889,"Prog",programmer!$F$3:$F$888889,"&lt;"&amp;#REF!,programmer!$F$3:$F$888889,"&gt;="&amp;I$3,programmer!$F$3:$F$888889,"&lt;=" &amp;Prévision!$F$4)*24</f>
        <v>0</v>
      </c>
      <c r="K10" s="88" t="s">
        <v>44</v>
      </c>
      <c r="L10" s="5">
        <v>1</v>
      </c>
      <c r="M10" s="5" t="s">
        <v>131</v>
      </c>
      <c r="N10" s="31">
        <v>30</v>
      </c>
    </row>
    <row r="11" spans="2:14" x14ac:dyDescent="0.25">
      <c r="B11" s="119"/>
      <c r="C11" s="119"/>
      <c r="D11" s="110"/>
      <c r="E11" s="112" t="e">
        <f>SUMIF(#REF!,B11,#REF!)</f>
        <v>#REF!</v>
      </c>
      <c r="F11" s="112">
        <f ca="1">SUMIFS(programmer!$H$3:$H$888889,programmer!$E$3:$E$888889,Prévision!$B11,programmer!$I$3:$I$888889,"Prog",programmer!$F$3:$F$888889,"&lt;=" &amp;Prévision!$F$4,programmer!$B$3:$B$888889,"Activités")*24*2</f>
        <v>0</v>
      </c>
      <c r="G11" s="133" t="e">
        <f t="shared" ca="1" si="1"/>
        <v>#REF!</v>
      </c>
      <c r="H11" s="113" t="e">
        <f t="shared" ca="1" si="2"/>
        <v>#REF!</v>
      </c>
      <c r="I11" s="110">
        <f ca="1">SUMIFS(programmer!$H$3:$H$888889,programmer!$E$3:$E$888889,Prévision!$B11,programmer!$I$3:$I$888889,"Prog",programmer!$F$3:$F$888889,"&lt;"&amp;#REF!,programmer!$F$3:$F$888889,"&gt;="&amp;I$3,programmer!$F$3:$F$888889,"&lt;=" &amp;Prévision!$F$4)*24</f>
        <v>0</v>
      </c>
      <c r="K11" s="88" t="s">
        <v>44</v>
      </c>
      <c r="L11" s="5">
        <v>1</v>
      </c>
      <c r="M11" s="5" t="s">
        <v>131</v>
      </c>
      <c r="N11" s="31">
        <v>30</v>
      </c>
    </row>
    <row r="12" spans="2:14" x14ac:dyDescent="0.25">
      <c r="B12" s="120"/>
      <c r="C12" s="120"/>
      <c r="D12" s="111"/>
      <c r="E12" s="112" t="e">
        <f>SUMIF(#REF!,B12,#REF!)</f>
        <v>#REF!</v>
      </c>
      <c r="F12" s="112">
        <f ca="1">SUMIFS(programmer!$H$3:$H$888889,programmer!$E$3:$E$888889,Prévision!$B12,programmer!$I$3:$I$888889,"Prog",programmer!$F$3:$F$888889,"&lt;=" &amp;Prévision!$F$4,programmer!$B$3:$B$888889,"Activités")*24*2</f>
        <v>0</v>
      </c>
      <c r="G12" s="133" t="e">
        <f t="shared" ca="1" si="1"/>
        <v>#REF!</v>
      </c>
      <c r="H12" s="113" t="e">
        <f t="shared" ca="1" si="2"/>
        <v>#REF!</v>
      </c>
      <c r="I12" s="111">
        <f ca="1">SUMIFS(programmer!$H$3:$H$888889,programmer!$E$3:$E$888889,Prévision!$B12,programmer!$I$3:$I$888889,"Prog",programmer!$F$3:$F$888889,"&lt;"&amp;#REF!,programmer!$F$3:$F$888889,"&gt;="&amp;I$3,programmer!$F$3:$F$888889,"&lt;=" &amp;Prévision!$F$4)*24</f>
        <v>0</v>
      </c>
      <c r="K12" s="88" t="s">
        <v>44</v>
      </c>
      <c r="L12" s="5">
        <v>1</v>
      </c>
      <c r="M12" s="5" t="s">
        <v>131</v>
      </c>
      <c r="N12" s="31">
        <v>30</v>
      </c>
    </row>
    <row r="13" spans="2:14" x14ac:dyDescent="0.25">
      <c r="B13" s="119"/>
      <c r="C13" s="119"/>
      <c r="D13" s="110"/>
      <c r="E13" s="112" t="e">
        <f>SUMIF(#REF!,B13,#REF!)</f>
        <v>#REF!</v>
      </c>
      <c r="F13" s="112">
        <f ca="1">SUMIFS(programmer!$H$3:$H$888889,programmer!$E$3:$E$888889,Prévision!$B13,programmer!$I$3:$I$888889,"Prog",programmer!$F$3:$F$888889,"&lt;=" &amp;Prévision!$F$4,programmer!$B$3:$B$888889,"Activités")*24*2</f>
        <v>0</v>
      </c>
      <c r="G13" s="133" t="e">
        <f t="shared" ca="1" si="1"/>
        <v>#REF!</v>
      </c>
      <c r="H13" s="113" t="e">
        <f t="shared" ca="1" si="2"/>
        <v>#REF!</v>
      </c>
      <c r="I13" s="110">
        <f ca="1">SUMIFS(programmer!$H$3:$H$888889,programmer!$E$3:$E$888889,Prévision!$B13,programmer!$I$3:$I$888889,"Prog",programmer!$F$3:$F$888889,"&lt;"&amp;#REF!,programmer!$F$3:$F$888889,"&gt;="&amp;I$3,programmer!$F$3:$F$888889,"&lt;=" &amp;Prévision!$F$4)*24</f>
        <v>0</v>
      </c>
      <c r="K13" s="88"/>
      <c r="L13" s="5"/>
      <c r="M13" s="5"/>
      <c r="N13" s="31"/>
    </row>
    <row r="14" spans="2:14" x14ac:dyDescent="0.25">
      <c r="B14" s="120"/>
      <c r="C14" s="120"/>
      <c r="D14" s="111"/>
      <c r="E14" s="112" t="e">
        <f>SUMIF(#REF!,B14,#REF!)</f>
        <v>#REF!</v>
      </c>
      <c r="F14" s="112">
        <f ca="1">SUMIFS(programmer!$H$3:$H$888889,programmer!$E$3:$E$888889,Prévision!$B14,programmer!$I$3:$I$888889,"Prog",programmer!$F$3:$F$888889,"&lt;=" &amp;Prévision!$F$4,programmer!$B$3:$B$888889,"Activités")*24*2</f>
        <v>0</v>
      </c>
      <c r="G14" s="133" t="e">
        <f t="shared" ca="1" si="1"/>
        <v>#REF!</v>
      </c>
      <c r="H14" s="113" t="e">
        <f t="shared" ca="1" si="2"/>
        <v>#REF!</v>
      </c>
      <c r="I14" s="111">
        <f ca="1">SUMIFS(programmer!$H$3:$H$888889,programmer!$E$3:$E$888889,Prévision!$B14,programmer!$I$3:$I$888889,"Prog",programmer!$F$3:$F$888889,"&lt;"&amp;#REF!,programmer!$F$3:$F$888889,"&gt;="&amp;I$3,programmer!$F$3:$F$888889,"&lt;=" &amp;Prévision!$F$4)*24</f>
        <v>0</v>
      </c>
      <c r="K14" s="88"/>
      <c r="L14" s="5"/>
      <c r="M14" s="5"/>
      <c r="N14" s="31"/>
    </row>
    <row r="15" spans="2:14" x14ac:dyDescent="0.25">
      <c r="B15" s="119"/>
      <c r="C15" s="119"/>
      <c r="D15" s="110"/>
      <c r="E15" s="112" t="e">
        <f>SUMIF(#REF!,B15,#REF!)</f>
        <v>#REF!</v>
      </c>
      <c r="F15" s="112">
        <f ca="1">SUMIFS(programmer!$H$3:$H$888889,programmer!$E$3:$E$888889,Prévision!$B15,programmer!$I$3:$I$888889,"Prog",programmer!$F$3:$F$888889,"&lt;=" &amp;Prévision!$F$4,programmer!$B$3:$B$888889,"Activités")*24*2</f>
        <v>0</v>
      </c>
      <c r="G15" s="133" t="e">
        <f t="shared" ca="1" si="1"/>
        <v>#REF!</v>
      </c>
      <c r="H15" s="113" t="e">
        <f t="shared" ca="1" si="2"/>
        <v>#REF!</v>
      </c>
      <c r="I15" s="110">
        <f ca="1">SUMIFS(programmer!$H$3:$H$888889,programmer!$E$3:$E$888889,Prévision!$B15,programmer!$I$3:$I$888889,"Prog",programmer!$F$3:$F$888889,"&lt;"&amp;#REF!,programmer!$F$3:$F$888889,"&gt;="&amp;I$3,programmer!$F$3:$F$888889,"&lt;=" &amp;Prévision!$F$4)*24</f>
        <v>0</v>
      </c>
      <c r="K15" s="88"/>
      <c r="L15" s="5"/>
      <c r="M15" s="5"/>
      <c r="N15" s="31"/>
    </row>
    <row r="16" spans="2:14" x14ac:dyDescent="0.25">
      <c r="B16" s="120"/>
      <c r="C16" s="120"/>
      <c r="D16" s="111"/>
      <c r="E16" s="112" t="e">
        <f>SUMIF(#REF!,B16,#REF!)</f>
        <v>#REF!</v>
      </c>
      <c r="F16" s="112">
        <f ca="1">SUMIFS(programmer!$H$3:$H$888889,programmer!$E$3:$E$888889,Prévision!$B16,programmer!$I$3:$I$888889,"Prog",programmer!$F$3:$F$888889,"&lt;=" &amp;Prévision!$F$4,programmer!$B$3:$B$888889,"Activités")*24*2</f>
        <v>0</v>
      </c>
      <c r="G16" s="133" t="e">
        <f t="shared" ca="1" si="1"/>
        <v>#REF!</v>
      </c>
      <c r="H16" s="113" t="e">
        <f t="shared" ca="1" si="2"/>
        <v>#REF!</v>
      </c>
      <c r="I16" s="111">
        <f ca="1">SUMIFS(programmer!$H$3:$H$888889,programmer!$E$3:$E$888889,Prévision!$B16,programmer!$I$3:$I$888889,"Prog",programmer!$F$3:$F$888889,"&lt;"&amp;#REF!,programmer!$F$3:$F$888889,"&gt;="&amp;I$3,programmer!$F$3:$F$888889,"&lt;=" &amp;Prévision!$F$4)*24</f>
        <v>0</v>
      </c>
      <c r="K16" s="88"/>
      <c r="L16" s="5"/>
      <c r="M16" s="5"/>
      <c r="N16" s="31"/>
    </row>
    <row r="17" spans="2:14" x14ac:dyDescent="0.25">
      <c r="B17" s="119"/>
      <c r="C17" s="119"/>
      <c r="D17" s="110"/>
      <c r="E17" s="112" t="e">
        <f>SUMIF(#REF!,B17,#REF!)</f>
        <v>#REF!</v>
      </c>
      <c r="F17" s="112">
        <f ca="1">SUMIFS(programmer!$H$3:$H$888889,programmer!$E$3:$E$888889,Prévision!$B17,programmer!$I$3:$I$888889,"Prog",programmer!$F$3:$F$888889,"&lt;=" &amp;Prévision!$F$4,programmer!$B$3:$B$888889,"Activités")*24*2</f>
        <v>0</v>
      </c>
      <c r="G17" s="133" t="e">
        <f t="shared" ca="1" si="1"/>
        <v>#REF!</v>
      </c>
      <c r="H17" s="113" t="e">
        <f t="shared" ca="1" si="2"/>
        <v>#REF!</v>
      </c>
      <c r="I17" s="111">
        <f ca="1">SUMIFS(programmer!$H$3:$H$888889,programmer!$E$3:$E$888889,Prévision!$B17,programmer!$I$3:$I$888889,"Prog",programmer!$F$3:$F$888889,"&lt;"&amp;#REF!,programmer!$F$3:$F$888889,"&gt;="&amp;I$3,programmer!$F$3:$F$888889,"&lt;=" &amp;Prévision!$F$4)*24</f>
        <v>0</v>
      </c>
      <c r="K17" s="88"/>
      <c r="L17" s="5"/>
      <c r="M17" s="5"/>
      <c r="N17" s="31"/>
    </row>
    <row r="18" spans="2:14" x14ac:dyDescent="0.25">
      <c r="B18" s="120"/>
      <c r="C18" s="120"/>
      <c r="D18" s="110"/>
      <c r="E18" s="112" t="e">
        <f>SUMIF(#REF!,B18,#REF!)</f>
        <v>#REF!</v>
      </c>
      <c r="F18" s="112">
        <f ca="1">SUMIFS(programmer!$H$3:$H$888889,programmer!$E$3:$E$888889,Prévision!$B18,programmer!$I$3:$I$888889,"Prog",programmer!$F$3:$F$888889,"&lt;=" &amp;Prévision!$F$4,programmer!$B$3:$B$888889,"Activités")*24*2</f>
        <v>0</v>
      </c>
      <c r="G18" s="133" t="e">
        <f t="shared" ca="1" si="1"/>
        <v>#REF!</v>
      </c>
      <c r="H18" s="113" t="e">
        <f t="shared" ca="1" si="2"/>
        <v>#REF!</v>
      </c>
      <c r="I18" s="111">
        <f ca="1">SUMIFS(programmer!$H$3:$H$888889,programmer!$E$3:$E$888889,Prévision!$B18,programmer!$I$3:$I$888889,"Prog",programmer!$F$3:$F$888889,"&lt;"&amp;#REF!,programmer!$F$3:$F$888889,"&gt;="&amp;I$3,programmer!$F$3:$F$888889,"&lt;=" &amp;Prévision!$F$4)*24</f>
        <v>0</v>
      </c>
      <c r="K18" s="88"/>
      <c r="L18" s="5"/>
      <c r="M18" s="5"/>
      <c r="N18" s="31"/>
    </row>
    <row r="19" spans="2:14" hidden="1" x14ac:dyDescent="0.25">
      <c r="B19" s="119" t="s">
        <v>50</v>
      </c>
      <c r="C19" s="110"/>
      <c r="D19" s="110">
        <v>1000</v>
      </c>
      <c r="E19" s="112" t="e">
        <f>SUMIF(#REF!,B19,#REF!)</f>
        <v>#REF!</v>
      </c>
      <c r="F19" s="112">
        <f ca="1">SUMIFS(programmer!$H$3:$H$888889,programmer!$E$3:$E$888889,Prévision!$B19,programmer!$I$3:$I$888889,"Prog",programmer!$F$3:$F$888889,"&lt;=" &amp;Prévision!$F$4,programmer!$B$3:$B$888889,"Activités")*24*2</f>
        <v>0</v>
      </c>
      <c r="G19" s="133" t="e">
        <f t="shared" ca="1" si="1"/>
        <v>#REF!</v>
      </c>
      <c r="H19" s="113" t="e">
        <f t="shared" ca="1" si="2"/>
        <v>#REF!</v>
      </c>
      <c r="I19" s="110">
        <f ca="1">SUMIFS(programmer!$H$3:$H$888889,programmer!$E$3:$E$888889,Prévision!$B19,programmer!$I$3:$I$888889,"Prog",programmer!$F$3:$F$888889,"&lt;"&amp;#REF!,programmer!$F$3:$F$888889,"&gt;="&amp;I$3,programmer!$F$3:$F$888889,"&lt;=" &amp;Prévision!$F$4)*24</f>
        <v>0</v>
      </c>
      <c r="K19" s="88"/>
      <c r="L19" s="5"/>
      <c r="M19" s="5"/>
      <c r="N19" s="31"/>
    </row>
    <row r="20" spans="2:14" x14ac:dyDescent="0.25">
      <c r="K20" s="88"/>
      <c r="L20" s="5"/>
      <c r="M20" s="5"/>
      <c r="N20" s="31"/>
    </row>
    <row r="21" spans="2:14" x14ac:dyDescent="0.25">
      <c r="K21" s="88"/>
      <c r="L21" s="5"/>
      <c r="M21" s="5"/>
      <c r="N21" s="31"/>
    </row>
    <row r="22" spans="2:14" x14ac:dyDescent="0.25">
      <c r="K22" s="88"/>
      <c r="L22" s="5"/>
      <c r="M22" s="5"/>
      <c r="N22" s="31"/>
    </row>
    <row r="23" spans="2:14" x14ac:dyDescent="0.25">
      <c r="K23" s="88"/>
      <c r="L23" s="5"/>
      <c r="M23" s="5"/>
      <c r="N23" s="31"/>
    </row>
    <row r="24" spans="2:14" x14ac:dyDescent="0.25">
      <c r="K24" s="88"/>
      <c r="L24" s="89"/>
      <c r="M24" s="104"/>
      <c r="N24" s="89"/>
    </row>
    <row r="25" spans="2:14" x14ac:dyDescent="0.25">
      <c r="K25" s="88"/>
      <c r="L25" s="5"/>
      <c r="M25" s="5"/>
      <c r="N25" s="31"/>
    </row>
  </sheetData>
  <mergeCells count="5">
    <mergeCell ref="C4:D4"/>
    <mergeCell ref="F4:H4"/>
    <mergeCell ref="C5:E5"/>
    <mergeCell ref="F5:H5"/>
    <mergeCell ref="I3:I5"/>
  </mergeCells>
  <conditionalFormatting sqref="H7:H19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{FB39A93F-FFF0-4533-A515-7B337D12E8D2}</x14:id>
        </ext>
      </extLst>
    </cfRule>
  </conditionalFormatting>
  <dataValidations count="1">
    <dataValidation type="list" allowBlank="1" showInputMessage="1" showErrorMessage="1" sqref="M4">
      <formula1>lstFormateur</formula1>
    </dataValidation>
  </dataValidations>
  <pageMargins left="0.25" right="0.25" top="0.75" bottom="0.75" header="0.3" footer="0.3"/>
  <pageSetup paperSize="9" orientation="landscape" horizontalDpi="4294967294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39A93F-FFF0-4533-A515-7B337D12E8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H7:H19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T20"/>
  <sheetViews>
    <sheetView zoomScaleNormal="100" workbookViewId="0">
      <selection activeCell="E4" sqref="E4:G4"/>
    </sheetView>
  </sheetViews>
  <sheetFormatPr defaultColWidth="9.140625" defaultRowHeight="15" x14ac:dyDescent="0.25"/>
  <cols>
    <col min="1" max="1" width="23.140625" customWidth="1"/>
    <col min="2" max="2" width="29.140625" bestFit="1" customWidth="1"/>
    <col min="3" max="3" width="6.42578125" customWidth="1"/>
    <col min="4" max="4" width="9.140625" bestFit="1" customWidth="1"/>
    <col min="5" max="5" width="8.42578125" customWidth="1"/>
    <col min="6" max="6" width="5.28515625" customWidth="1"/>
    <col min="7" max="7" width="14.28515625" customWidth="1"/>
    <col min="8" max="8" width="9.5703125" hidden="1" customWidth="1"/>
    <col min="9" max="9" width="9.5703125" bestFit="1" customWidth="1"/>
  </cols>
  <sheetData>
    <row r="1" spans="1:20" ht="4.5" customHeight="1" x14ac:dyDescent="0.25"/>
    <row r="2" spans="1:20" ht="4.5" customHeight="1" x14ac:dyDescent="0.25">
      <c r="A2" s="3">
        <v>44116</v>
      </c>
    </row>
    <row r="3" spans="1:20" ht="90.75" customHeight="1" x14ac:dyDescent="0.8">
      <c r="A3" s="114" t="s">
        <v>89</v>
      </c>
      <c r="B3" s="115"/>
      <c r="C3" s="115"/>
      <c r="D3" s="115"/>
      <c r="E3" s="115"/>
      <c r="F3" s="115"/>
      <c r="G3" s="115"/>
      <c r="H3" s="206">
        <v>44075</v>
      </c>
      <c r="I3" s="206">
        <v>44105</v>
      </c>
      <c r="J3" s="206">
        <v>44136</v>
      </c>
      <c r="K3" s="206">
        <v>44166</v>
      </c>
      <c r="L3" s="206">
        <v>44197</v>
      </c>
      <c r="M3" s="206">
        <v>44228</v>
      </c>
      <c r="N3" s="206">
        <v>44256</v>
      </c>
      <c r="O3" s="206">
        <v>44287</v>
      </c>
      <c r="P3" s="206">
        <v>44317</v>
      </c>
      <c r="Q3" s="206">
        <v>44348</v>
      </c>
      <c r="R3" s="206">
        <v>44378</v>
      </c>
      <c r="S3" s="206">
        <v>44409</v>
      </c>
      <c r="T3" s="41"/>
    </row>
    <row r="4" spans="1:20" ht="38.25" customHeight="1" x14ac:dyDescent="0.25">
      <c r="A4" s="116" t="s">
        <v>150</v>
      </c>
      <c r="B4" s="202">
        <v>44116</v>
      </c>
      <c r="C4" s="202"/>
      <c r="D4" s="116" t="s">
        <v>151</v>
      </c>
      <c r="E4" s="202">
        <f ca="1">TODAY()+20</f>
        <v>44362</v>
      </c>
      <c r="F4" s="202"/>
      <c r="G4" s="203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</row>
    <row r="5" spans="1:20" ht="9" customHeight="1" x14ac:dyDescent="0.25">
      <c r="A5" s="143"/>
      <c r="B5" s="204"/>
      <c r="C5" s="204"/>
      <c r="D5" s="204"/>
      <c r="E5" s="204"/>
      <c r="F5" s="204"/>
      <c r="G5" s="205"/>
      <c r="H5" s="208"/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8"/>
    </row>
    <row r="6" spans="1:20" x14ac:dyDescent="0.25">
      <c r="A6" s="107" t="s">
        <v>3</v>
      </c>
      <c r="B6" s="107" t="s">
        <v>63</v>
      </c>
      <c r="C6" s="107" t="s">
        <v>64</v>
      </c>
      <c r="D6" s="107" t="s">
        <v>91</v>
      </c>
      <c r="E6" s="107" t="s">
        <v>90</v>
      </c>
      <c r="F6" s="107" t="s">
        <v>5</v>
      </c>
      <c r="G6" s="107" t="s">
        <v>92</v>
      </c>
      <c r="H6" s="117">
        <f t="shared" ref="H6:S6" ca="1" si="0">SUM(H7:H19)</f>
        <v>0</v>
      </c>
      <c r="I6" s="117">
        <f t="shared" ca="1" si="0"/>
        <v>0</v>
      </c>
      <c r="J6" s="117">
        <f t="shared" ca="1" si="0"/>
        <v>0</v>
      </c>
      <c r="K6" s="117">
        <f t="shared" ca="1" si="0"/>
        <v>0</v>
      </c>
      <c r="L6" s="117">
        <f t="shared" ca="1" si="0"/>
        <v>0</v>
      </c>
      <c r="M6" s="117">
        <f t="shared" ca="1" si="0"/>
        <v>0</v>
      </c>
      <c r="N6" s="117">
        <f t="shared" ca="1" si="0"/>
        <v>0</v>
      </c>
      <c r="O6" s="117">
        <f t="shared" ca="1" si="0"/>
        <v>0</v>
      </c>
      <c r="P6" s="117">
        <f t="shared" ca="1" si="0"/>
        <v>19</v>
      </c>
      <c r="Q6" s="117">
        <f t="shared" ca="1" si="0"/>
        <v>0</v>
      </c>
      <c r="R6" s="117">
        <f t="shared" ca="1" si="0"/>
        <v>0</v>
      </c>
      <c r="S6" s="117">
        <f t="shared" ca="1" si="0"/>
        <v>0</v>
      </c>
    </row>
    <row r="7" spans="1:20" x14ac:dyDescent="0.25">
      <c r="A7" s="8" t="s">
        <v>212</v>
      </c>
      <c r="B7" s="119"/>
      <c r="C7" s="110">
        <v>20</v>
      </c>
      <c r="D7" s="112">
        <f ca="1">SUMIFS(programmer!$H$3:$H$888889,programmer!$E$3:$E$888889,Réalisés!$A7,programmer!$I$3:$I$888889,"Prog",programmer!$F$3:$F$888889,"&lt;=" &amp;Réalisés!$E$4)*24-(E7/2)</f>
        <v>9</v>
      </c>
      <c r="E7" s="112">
        <f ca="1">SUMIFS(programmer!$H$3:$H$888889,programmer!$E$3:$E$888889,Réalisés!$A7,programmer!$I$3:$I$888889,"Prog",programmer!$F$3:$F$888889,"&lt;=" &amp;Réalisés!$E$4,programmer!$B$3:$B$888889,"Activités")*24*2</f>
        <v>0</v>
      </c>
      <c r="F7" s="133">
        <f ca="1">D7+(E7/2)</f>
        <v>9</v>
      </c>
      <c r="G7" s="113">
        <f ca="1">F7/C7</f>
        <v>0.45</v>
      </c>
      <c r="H7" s="118">
        <f ca="1">SUMIFS(programmer!$H$3:$H$888889,programmer!$E$3:$E$888889,Réalisés!$A7,programmer!$I$3:$I$888889,"Prog",programmer!$F$3:$F$888889,"&lt;"&amp;I$3,programmer!$F$3:$F$888889,"&gt;="&amp;H$3,programmer!$F$3:$F$888889,"&lt;=" &amp;Réalisés!$E$4)*24</f>
        <v>0</v>
      </c>
      <c r="I7" s="118">
        <f ca="1">SUMIFS(programmer!$H$3:$H$888889,programmer!$E$3:$E$888889,Réalisés!$A7,programmer!$I$3:$I$888889,"Prog",programmer!$F$3:$F$888889,"&lt;"&amp;J$3,programmer!$F$3:$F$888889,"&gt;="&amp;I$3,programmer!$F$3:$F$888889,"&lt;=" &amp;Réalisés!$E$4)*24</f>
        <v>0</v>
      </c>
      <c r="J7" s="118">
        <f ca="1">SUMIFS(programmer!$H$3:$H$888889,programmer!$E$3:$E$888889,Réalisés!$A7,programmer!$I$3:$I$888889,"Prog",programmer!$F$3:$F$888889,"&lt;"&amp;K$3,programmer!$F$3:$F$888889,"&gt;="&amp;J$3,programmer!$F$3:$F$888889,"&lt;=" &amp;Réalisés!$E$4)*24</f>
        <v>0</v>
      </c>
      <c r="K7" s="118">
        <f ca="1">SUMIFS(programmer!$H$3:$H$888889,programmer!$E$3:$E$888889,Réalisés!$A7,programmer!$I$3:$I$888889,"Prog",programmer!$F$3:$F$888889,"&lt;"&amp;L$3,programmer!$F$3:$F$888889,"&gt;="&amp;K$3,programmer!$F$3:$F$888889,"&lt;=" &amp;Réalisés!$E$4)*24</f>
        <v>0</v>
      </c>
      <c r="L7" s="118">
        <f ca="1">SUMIFS(programmer!$H$3:$H$888889,programmer!$E$3:$E$888889,Réalisés!$A7,programmer!$I$3:$I$888889,"Prog",programmer!$F$3:$F$888889,"&lt;"&amp;M$3,programmer!$F$3:$F$888889,"&gt;="&amp;L$3,programmer!$F$3:$F$888889,"&lt;=" &amp;Réalisés!$E$4)*24</f>
        <v>0</v>
      </c>
      <c r="M7" s="118">
        <f ca="1">SUMIFS(programmer!$H$3:$H$888889,programmer!$E$3:$E$888889,Réalisés!$A7,programmer!$I$3:$I$888889,"Prog",programmer!$F$3:$F$888889,"&lt;"&amp;N$3,programmer!$F$3:$F$888889,"&gt;="&amp;M$3,programmer!$F$3:$F$888889,"&lt;=" &amp;Réalisés!$E$4)*24</f>
        <v>0</v>
      </c>
      <c r="N7" s="118">
        <f ca="1">SUMIFS(programmer!$H$3:$H$888889,programmer!$E$3:$E$888889,Réalisés!$A7,programmer!$I$3:$I$888889,"Prog",programmer!$F$3:$F$888889,"&lt;"&amp;O$3,programmer!$F$3:$F$888889,"&gt;="&amp;N$3,programmer!$F$3:$F$888889,"&lt;=" &amp;Réalisés!$E$4)*24</f>
        <v>0</v>
      </c>
      <c r="O7" s="118">
        <f ca="1">SUMIFS(programmer!$H$3:$H$888889,programmer!$E$3:$E$888889,Réalisés!$A7,programmer!$I$3:$I$888889,"Prog",programmer!$F$3:$F$888889,"&lt;"&amp;P$3,programmer!$F$3:$F$888889,"&gt;="&amp;O$3,programmer!$F$3:$F$888889,"&lt;=" &amp;Réalisés!$E$4)*24</f>
        <v>0</v>
      </c>
      <c r="P7" s="118">
        <f ca="1">SUMIFS(programmer!$H$3:$H$888889,programmer!$E$3:$E$888889,Réalisés!$A7,programmer!$I$3:$I$888889,"Prog",programmer!$F$3:$F$888889,"&lt;"&amp;Q$3,programmer!$F$3:$F$888889,"&gt;="&amp;P$3,programmer!$F$3:$F$888889,"&lt;=" &amp;Réalisés!$E$4)*24</f>
        <v>9</v>
      </c>
      <c r="Q7" s="118">
        <f ca="1">SUMIFS(programmer!$H$3:$H$888889,programmer!$E$3:$E$888889,Réalisés!$A7,programmer!$I$3:$I$888889,"Prog",programmer!$F$3:$F$888889,"&lt;"&amp;R$3,programmer!$F$3:$F$888889,"&gt;="&amp;Q$3,programmer!$F$3:$F$888889,"&lt;=" &amp;Réalisés!$E$4)*24</f>
        <v>0</v>
      </c>
      <c r="R7" s="118">
        <f ca="1">SUMIFS(programmer!$H$3:$H$888889,programmer!$E$3:$E$888889,Réalisés!$A7,programmer!$I$3:$I$888889,"Prog",programmer!$F$3:$F$888889,"&lt;"&amp;S$3,programmer!$F$3:$F$888889,"&gt;="&amp;R$3,programmer!$F$3:$F$888889,"&lt;=" &amp;Réalisés!$E$4)*24</f>
        <v>0</v>
      </c>
      <c r="S7" s="118">
        <f ca="1">SUMIFS(programmer!$H$3:$H$888889,programmer!$E$3:$E$888889,Réalisés!$A7,programmer!$I$3:$I$888889,"Prog",programmer!$F$3:$F$888889,"&lt;"&amp;T$3,programmer!$F$3:$F$888889,"&gt;="&amp;S$3,programmer!$F$3:$F$888889,"&lt;=" &amp;Réalisés!$E$4)*24</f>
        <v>0</v>
      </c>
    </row>
    <row r="8" spans="1:20" x14ac:dyDescent="0.25">
      <c r="A8" s="136" t="s">
        <v>50</v>
      </c>
      <c r="B8" s="120"/>
      <c r="C8" s="111">
        <v>30</v>
      </c>
      <c r="D8" s="112">
        <f ca="1">SUMIFS(programmer!$H$3:$H$888889,programmer!$E$3:$E$888889,Réalisés!$A8,programmer!$I$3:$I$888889,"Prog",programmer!$F$3:$F$888889,"&lt;=" &amp;Réalisés!$E$4)*24-(E8/2)</f>
        <v>10</v>
      </c>
      <c r="E8" s="112">
        <f ca="1">SUMIFS(programmer!$H$3:$H$888889,programmer!$E$3:$E$888889,Réalisés!$A8,programmer!$I$3:$I$888889,"Prog",programmer!$F$3:$F$888889,"&lt;=" &amp;Réalisés!$E$4,programmer!$B$3:$B$888889,"Activités")*24*2</f>
        <v>0</v>
      </c>
      <c r="F8" s="133">
        <f t="shared" ref="F8:F20" ca="1" si="1">D8+(E8/2)</f>
        <v>10</v>
      </c>
      <c r="G8" s="113">
        <f t="shared" ref="G8:G20" ca="1" si="2">F8/C8</f>
        <v>0.33333333333333331</v>
      </c>
      <c r="H8" s="111">
        <f ca="1">SUMIFS(programmer!$H$3:$H$888889,programmer!$E$3:$E$888889,Réalisés!$A8,programmer!$I$3:$I$888889,"Prog",programmer!$F$3:$F$888889,"&lt;"&amp;I$3,programmer!$F$3:$F$888889,"&gt;="&amp;H$3,programmer!$F$3:$F$888889,"&lt;=" &amp;Réalisés!$E$4)*24</f>
        <v>0</v>
      </c>
      <c r="I8" s="111">
        <f ca="1">SUMIFS(programmer!$H$3:$H$888889,programmer!$E$3:$E$888889,Réalisés!$A8,programmer!$I$3:$I$888889,"Prog",programmer!$F$3:$F$888889,"&lt;"&amp;J$3,programmer!$F$3:$F$888889,"&gt;="&amp;I$3,programmer!$F$3:$F$888889,"&lt;=" &amp;Réalisés!$E$4)*24</f>
        <v>0</v>
      </c>
      <c r="J8" s="111">
        <f ca="1">SUMIFS(programmer!$H$3:$H$888889,programmer!$E$3:$E$888889,Réalisés!$A8,programmer!$I$3:$I$888889,"Prog",programmer!$F$3:$F$888889,"&lt;"&amp;K$3,programmer!$F$3:$F$888889,"&gt;="&amp;J$3,programmer!$F$3:$F$888889,"&lt;=" &amp;Réalisés!$E$4)*24</f>
        <v>0</v>
      </c>
      <c r="K8" s="111">
        <f ca="1">SUMIFS(programmer!$H$3:$H$888889,programmer!$E$3:$E$888889,Réalisés!$A8,programmer!$I$3:$I$888889,"Prog",programmer!$F$3:$F$888889,"&lt;"&amp;L$3,programmer!$F$3:$F$888889,"&gt;="&amp;K$3,programmer!$F$3:$F$888889,"&lt;=" &amp;Réalisés!$E$4)*24</f>
        <v>0</v>
      </c>
      <c r="L8" s="111">
        <f ca="1">SUMIFS(programmer!$H$3:$H$888889,programmer!$E$3:$E$888889,Réalisés!$A8,programmer!$I$3:$I$888889,"Prog",programmer!$F$3:$F$888889,"&lt;"&amp;M$3,programmer!$F$3:$F$888889,"&gt;="&amp;L$3,programmer!$F$3:$F$888889,"&lt;=" &amp;Réalisés!$E$4)*24</f>
        <v>0</v>
      </c>
      <c r="M8" s="111">
        <f ca="1">SUMIFS(programmer!$H$3:$H$888889,programmer!$E$3:$E$888889,Réalisés!$A8,programmer!$I$3:$I$888889,"Prog",programmer!$F$3:$F$888889,"&lt;"&amp;N$3,programmer!$F$3:$F$888889,"&gt;="&amp;M$3,programmer!$F$3:$F$888889,"&lt;=" &amp;Réalisés!$E$4)*24</f>
        <v>0</v>
      </c>
      <c r="N8" s="111">
        <f ca="1">SUMIFS(programmer!$H$3:$H$888889,programmer!$E$3:$E$888889,Réalisés!$A8,programmer!$I$3:$I$888889,"Prog",programmer!$F$3:$F$888889,"&lt;"&amp;O$3,programmer!$F$3:$F$888889,"&gt;="&amp;N$3,programmer!$F$3:$F$888889,"&lt;=" &amp;Réalisés!$E$4)*24</f>
        <v>0</v>
      </c>
      <c r="O8" s="111">
        <f ca="1">SUMIFS(programmer!$H$3:$H$888889,programmer!$E$3:$E$888889,Réalisés!$A8,programmer!$I$3:$I$888889,"Prog",programmer!$F$3:$F$888889,"&lt;"&amp;P$3,programmer!$F$3:$F$888889,"&gt;="&amp;O$3,programmer!$F$3:$F$888889,"&lt;=" &amp;Réalisés!$E$4)*24</f>
        <v>0</v>
      </c>
      <c r="P8" s="111">
        <f ca="1">SUMIFS(programmer!$H$3:$H$888889,programmer!$E$3:$E$888889,Réalisés!$A8,programmer!$I$3:$I$888889,"Prog",programmer!$F$3:$F$888889,"&lt;"&amp;Q$3,programmer!$F$3:$F$888889,"&gt;="&amp;P$3,programmer!$F$3:$F$888889,"&lt;=" &amp;Réalisés!$E$4)*24</f>
        <v>10</v>
      </c>
      <c r="Q8" s="111">
        <f ca="1">SUMIFS(programmer!$H$3:$H$888889,programmer!$E$3:$E$888889,Réalisés!$A8,programmer!$I$3:$I$888889,"Prog",programmer!$F$3:$F$888889,"&lt;"&amp;R$3,programmer!$F$3:$F$888889,"&gt;="&amp;Q$3,programmer!$F$3:$F$888889,"&lt;=" &amp;Réalisés!$E$4)*24</f>
        <v>0</v>
      </c>
      <c r="R8" s="111">
        <f ca="1">SUMIFS(programmer!$H$3:$H$888889,programmer!$E$3:$E$888889,Réalisés!$A8,programmer!$I$3:$I$888889,"Prog",programmer!$F$3:$F$888889,"&lt;"&amp;S$3,programmer!$F$3:$F$888889,"&gt;="&amp;R$3,programmer!$F$3:$F$888889,"&lt;=" &amp;Réalisés!$E$4)*24</f>
        <v>0</v>
      </c>
      <c r="S8" s="111">
        <f ca="1">SUMIFS(programmer!$H$3:$H$888889,programmer!$E$3:$E$888889,Réalisés!$A8,programmer!$I$3:$I$888889,"Prog",programmer!$F$3:$F$888889,"&lt;"&amp;T$3,programmer!$F$3:$F$888889,"&gt;="&amp;S$3,programmer!$F$3:$F$888889,"&lt;=" &amp;Réalisés!$E$4)*24</f>
        <v>0</v>
      </c>
    </row>
    <row r="9" spans="1:20" x14ac:dyDescent="0.25">
      <c r="A9" s="119"/>
      <c r="B9" s="119"/>
      <c r="C9" s="110"/>
      <c r="D9" s="112">
        <f ca="1">SUMIFS(programmer!$H$3:$H$888889,programmer!$E$3:$E$888889,Réalisés!$A9,programmer!$I$3:$I$888889,"Prog",programmer!$F$3:$F$888889,"&lt;=" &amp;Réalisés!$E$4)*24-(E9/2)</f>
        <v>0</v>
      </c>
      <c r="E9" s="112">
        <f ca="1">SUMIFS(programmer!$H$3:$H$888889,programmer!$E$3:$E$888889,Réalisés!$A9,programmer!$I$3:$I$888889,"Prog",programmer!$F$3:$F$888889,"&lt;=" &amp;Réalisés!$E$4,programmer!$B$3:$B$888889,"Activités")*24*2</f>
        <v>0</v>
      </c>
      <c r="F9" s="133">
        <f t="shared" ca="1" si="1"/>
        <v>0</v>
      </c>
      <c r="G9" s="113" t="e">
        <f t="shared" ca="1" si="2"/>
        <v>#DIV/0!</v>
      </c>
      <c r="H9" s="110">
        <f ca="1">SUMIFS(programmer!$H$3:$H$888889,programmer!$E$3:$E$888889,Réalisés!$A9,programmer!$I$3:$I$888889,"Prog",programmer!$F$3:$F$888889,"&lt;"&amp;I$3,programmer!$F$3:$F$888889,"&gt;="&amp;H$3,programmer!$F$3:$F$888889,"&lt;=" &amp;Réalisés!$E$4)*24</f>
        <v>0</v>
      </c>
      <c r="I9" s="110">
        <f ca="1">SUMIFS(programmer!$H$3:$H$888889,programmer!$E$3:$E$888889,Réalisés!$A9,programmer!$I$3:$I$888889,"Prog",programmer!$F$3:$F$888889,"&lt;"&amp;J$3,programmer!$F$3:$F$888889,"&gt;="&amp;I$3,programmer!$F$3:$F$888889,"&lt;=" &amp;Réalisés!$E$4)*24</f>
        <v>0</v>
      </c>
      <c r="J9" s="110">
        <f ca="1">SUMIFS(programmer!$H$3:$H$888889,programmer!$E$3:$E$888889,Réalisés!$A9,programmer!$I$3:$I$888889,"Prog",programmer!$F$3:$F$888889,"&lt;"&amp;K$3,programmer!$F$3:$F$888889,"&gt;="&amp;J$3,programmer!$F$3:$F$888889,"&lt;=" &amp;Réalisés!$E$4)*24</f>
        <v>0</v>
      </c>
      <c r="K9" s="110">
        <f ca="1">SUMIFS(programmer!$H$3:$H$888889,programmer!$E$3:$E$888889,Réalisés!$A9,programmer!$I$3:$I$888889,"Prog",programmer!$F$3:$F$888889,"&lt;"&amp;L$3,programmer!$F$3:$F$888889,"&gt;="&amp;K$3,programmer!$F$3:$F$888889,"&lt;=" &amp;Réalisés!$E$4)*24</f>
        <v>0</v>
      </c>
      <c r="L9" s="110">
        <f ca="1">SUMIFS(programmer!$H$3:$H$888889,programmer!$E$3:$E$888889,Réalisés!$A9,programmer!$I$3:$I$888889,"Prog",programmer!$F$3:$F$888889,"&lt;"&amp;M$3,programmer!$F$3:$F$888889,"&gt;="&amp;L$3,programmer!$F$3:$F$888889,"&lt;=" &amp;Réalisés!$E$4)*24</f>
        <v>0</v>
      </c>
      <c r="M9" s="110">
        <f ca="1">SUMIFS(programmer!$H$3:$H$888889,programmer!$E$3:$E$888889,Réalisés!$A9,programmer!$I$3:$I$888889,"Prog",programmer!$F$3:$F$888889,"&lt;"&amp;N$3,programmer!$F$3:$F$888889,"&gt;="&amp;M$3,programmer!$F$3:$F$888889,"&lt;=" &amp;Réalisés!$E$4)*24</f>
        <v>0</v>
      </c>
      <c r="N9" s="110">
        <f ca="1">SUMIFS(programmer!$H$3:$H$888889,programmer!$E$3:$E$888889,Réalisés!$A9,programmer!$I$3:$I$888889,"Prog",programmer!$F$3:$F$888889,"&lt;"&amp;O$3,programmer!$F$3:$F$888889,"&gt;="&amp;N$3,programmer!$F$3:$F$888889,"&lt;=" &amp;Réalisés!$E$4)*24</f>
        <v>0</v>
      </c>
      <c r="O9" s="110">
        <f ca="1">SUMIFS(programmer!$H$3:$H$888889,programmer!$E$3:$E$888889,Réalisés!$A9,programmer!$I$3:$I$888889,"Prog",programmer!$F$3:$F$888889,"&lt;"&amp;P$3,programmer!$F$3:$F$888889,"&gt;="&amp;O$3,programmer!$F$3:$F$888889,"&lt;=" &amp;Réalisés!$E$4)*24</f>
        <v>0</v>
      </c>
      <c r="P9" s="110">
        <f ca="1">SUMIFS(programmer!$H$3:$H$888889,programmer!$E$3:$E$888889,Réalisés!$A9,programmer!$I$3:$I$888889,"Prog",programmer!$F$3:$F$888889,"&lt;"&amp;Q$3,programmer!$F$3:$F$888889,"&gt;="&amp;P$3,programmer!$F$3:$F$888889,"&lt;=" &amp;Réalisés!$E$4)*24</f>
        <v>0</v>
      </c>
      <c r="Q9" s="110">
        <f ca="1">SUMIFS(programmer!$H$3:$H$888889,programmer!$E$3:$E$888889,Réalisés!$A9,programmer!$I$3:$I$888889,"Prog",programmer!$F$3:$F$888889,"&lt;"&amp;R$3,programmer!$F$3:$F$888889,"&gt;="&amp;Q$3,programmer!$F$3:$F$888889,"&lt;=" &amp;Réalisés!$E$4)*24</f>
        <v>0</v>
      </c>
      <c r="R9" s="110">
        <f ca="1">SUMIFS(programmer!$H$3:$H$888889,programmer!$E$3:$E$888889,Réalisés!$A9,programmer!$I$3:$I$888889,"Prog",programmer!$F$3:$F$888889,"&lt;"&amp;S$3,programmer!$F$3:$F$888889,"&gt;="&amp;R$3,programmer!$F$3:$F$888889,"&lt;=" &amp;Réalisés!$E$4)*24</f>
        <v>0</v>
      </c>
      <c r="S9" s="110">
        <f ca="1">SUMIFS(programmer!$H$3:$H$888889,programmer!$E$3:$E$888889,Réalisés!$A9,programmer!$I$3:$I$888889,"Prog",programmer!$F$3:$F$888889,"&lt;"&amp;T$3,programmer!$F$3:$F$888889,"&gt;="&amp;S$3,programmer!$F$3:$F$888889,"&lt;=" &amp;Réalisés!$E$4)*24</f>
        <v>0</v>
      </c>
    </row>
    <row r="10" spans="1:20" x14ac:dyDescent="0.25">
      <c r="A10" s="120"/>
      <c r="B10" s="120"/>
      <c r="C10" s="111"/>
      <c r="D10" s="112">
        <f ca="1">SUMIFS(programmer!$H$3:$H$888889,programmer!$E$3:$E$888889,Réalisés!$A10,programmer!$I$3:$I$888889,"Prog",programmer!$F$3:$F$888889,"&lt;=" &amp;Réalisés!$E$4)*24-(E10/2)</f>
        <v>0</v>
      </c>
      <c r="E10" s="112">
        <f ca="1">SUMIFS(programmer!$H$3:$H$888889,programmer!$E$3:$E$888889,Réalisés!$A10,programmer!$I$3:$I$888889,"Prog",programmer!$F$3:$F$888889,"&lt;=" &amp;Réalisés!$E$4,programmer!$B$3:$B$888889,"Activités")*24*2</f>
        <v>0</v>
      </c>
      <c r="F10" s="133">
        <f t="shared" ca="1" si="1"/>
        <v>0</v>
      </c>
      <c r="G10" s="113" t="e">
        <f t="shared" ca="1" si="2"/>
        <v>#DIV/0!</v>
      </c>
      <c r="H10" s="111">
        <f ca="1">SUMIFS(programmer!$H$3:$H$888889,programmer!$E$3:$E$888889,Réalisés!$A10,programmer!$I$3:$I$888889,"Prog",programmer!$F$3:$F$888889,"&lt;"&amp;I$3,programmer!$F$3:$F$888889,"&gt;="&amp;H$3,programmer!$F$3:$F$888889,"&lt;=" &amp;Réalisés!$E$4)*24</f>
        <v>0</v>
      </c>
      <c r="I10" s="111">
        <f ca="1">SUMIFS(programmer!$H$3:$H$888889,programmer!$E$3:$E$888889,Réalisés!$A10,programmer!$I$3:$I$888889,"Prog",programmer!$F$3:$F$888889,"&lt;"&amp;J$3,programmer!$F$3:$F$888889,"&gt;="&amp;I$3,programmer!$F$3:$F$888889,"&lt;=" &amp;Réalisés!$E$4)*24</f>
        <v>0</v>
      </c>
      <c r="J10" s="111">
        <f ca="1">SUMIFS(programmer!$H$3:$H$888889,programmer!$E$3:$E$888889,Réalisés!$A10,programmer!$I$3:$I$888889,"Prog",programmer!$F$3:$F$888889,"&lt;"&amp;K$3,programmer!$F$3:$F$888889,"&gt;="&amp;J$3,programmer!$F$3:$F$888889,"&lt;=" &amp;Réalisés!$E$4)*24</f>
        <v>0</v>
      </c>
      <c r="K10" s="111">
        <f ca="1">SUMIFS(programmer!$H$3:$H$888889,programmer!$E$3:$E$888889,Réalisés!$A10,programmer!$I$3:$I$888889,"Prog",programmer!$F$3:$F$888889,"&lt;"&amp;L$3,programmer!$F$3:$F$888889,"&gt;="&amp;K$3,programmer!$F$3:$F$888889,"&lt;=" &amp;Réalisés!$E$4)*24</f>
        <v>0</v>
      </c>
      <c r="L10" s="111">
        <f ca="1">SUMIFS(programmer!$H$3:$H$888889,programmer!$E$3:$E$888889,Réalisés!$A10,programmer!$I$3:$I$888889,"Prog",programmer!$F$3:$F$888889,"&lt;"&amp;M$3,programmer!$F$3:$F$888889,"&gt;="&amp;L$3,programmer!$F$3:$F$888889,"&lt;=" &amp;Réalisés!$E$4)*24</f>
        <v>0</v>
      </c>
      <c r="M10" s="111">
        <f ca="1">SUMIFS(programmer!$H$3:$H$888889,programmer!$E$3:$E$888889,Réalisés!$A10,programmer!$I$3:$I$888889,"Prog",programmer!$F$3:$F$888889,"&lt;"&amp;N$3,programmer!$F$3:$F$888889,"&gt;="&amp;M$3,programmer!$F$3:$F$888889,"&lt;=" &amp;Réalisés!$E$4)*24</f>
        <v>0</v>
      </c>
      <c r="N10" s="111">
        <f ca="1">SUMIFS(programmer!$H$3:$H$888889,programmer!$E$3:$E$888889,Réalisés!$A10,programmer!$I$3:$I$888889,"Prog",programmer!$F$3:$F$888889,"&lt;"&amp;O$3,programmer!$F$3:$F$888889,"&gt;="&amp;N$3,programmer!$F$3:$F$888889,"&lt;=" &amp;Réalisés!$E$4)*24</f>
        <v>0</v>
      </c>
      <c r="O10" s="111">
        <f ca="1">SUMIFS(programmer!$H$3:$H$888889,programmer!$E$3:$E$888889,Réalisés!$A10,programmer!$I$3:$I$888889,"Prog",programmer!$F$3:$F$888889,"&lt;"&amp;P$3,programmer!$F$3:$F$888889,"&gt;="&amp;O$3,programmer!$F$3:$F$888889,"&lt;=" &amp;Réalisés!$E$4)*24</f>
        <v>0</v>
      </c>
      <c r="P10" s="111">
        <f ca="1">SUMIFS(programmer!$H$3:$H$888889,programmer!$E$3:$E$888889,Réalisés!$A10,programmer!$I$3:$I$888889,"Prog",programmer!$F$3:$F$888889,"&lt;"&amp;Q$3,programmer!$F$3:$F$888889,"&gt;="&amp;P$3,programmer!$F$3:$F$888889,"&lt;=" &amp;Réalisés!$E$4)*24</f>
        <v>0</v>
      </c>
      <c r="Q10" s="111">
        <f ca="1">SUMIFS(programmer!$H$3:$H$888889,programmer!$E$3:$E$888889,Réalisés!$A10,programmer!$I$3:$I$888889,"Prog",programmer!$F$3:$F$888889,"&lt;"&amp;R$3,programmer!$F$3:$F$888889,"&gt;="&amp;Q$3,programmer!$F$3:$F$888889,"&lt;=" &amp;Réalisés!$E$4)*24</f>
        <v>0</v>
      </c>
      <c r="R10" s="111">
        <f ca="1">SUMIFS(programmer!$H$3:$H$888889,programmer!$E$3:$E$888889,Réalisés!$A10,programmer!$I$3:$I$888889,"Prog",programmer!$F$3:$F$888889,"&lt;"&amp;S$3,programmer!$F$3:$F$888889,"&gt;="&amp;R$3,programmer!$F$3:$F$888889,"&lt;=" &amp;Réalisés!$E$4)*24</f>
        <v>0</v>
      </c>
      <c r="S10" s="111">
        <f ca="1">SUMIFS(programmer!$H$3:$H$888889,programmer!$E$3:$E$888889,Réalisés!$A10,programmer!$I$3:$I$888889,"Prog",programmer!$F$3:$F$888889,"&lt;"&amp;T$3,programmer!$F$3:$F$888889,"&gt;="&amp;S$3,programmer!$F$3:$F$888889,"&lt;=" &amp;Réalisés!$E$4)*24</f>
        <v>0</v>
      </c>
    </row>
    <row r="11" spans="1:20" x14ac:dyDescent="0.25">
      <c r="A11" s="119"/>
      <c r="B11" s="119"/>
      <c r="C11" s="110"/>
      <c r="D11" s="112">
        <f ca="1">SUMIFS(programmer!$H$3:$H$888889,programmer!$E$3:$E$888889,Réalisés!$A11,programmer!$I$3:$I$888889,"Prog",programmer!$F$3:$F$888889,"&lt;=" &amp;Réalisés!$E$4)*24-(E11/2)</f>
        <v>0</v>
      </c>
      <c r="E11" s="112">
        <f ca="1">SUMIFS(programmer!$H$3:$H$888889,programmer!$E$3:$E$888889,Réalisés!$A11,programmer!$I$3:$I$888889,"Prog",programmer!$F$3:$F$888889,"&lt;=" &amp;Réalisés!$E$4,programmer!$B$3:$B$888889,"Activités")*24*2</f>
        <v>0</v>
      </c>
      <c r="F11" s="133">
        <f t="shared" ca="1" si="1"/>
        <v>0</v>
      </c>
      <c r="G11" s="113" t="e">
        <f t="shared" ca="1" si="2"/>
        <v>#DIV/0!</v>
      </c>
      <c r="H11" s="110">
        <f ca="1">SUMIFS(programmer!$H$3:$H$888889,programmer!$E$3:$E$888889,Réalisés!$A11,programmer!$I$3:$I$888889,"Prog",programmer!$F$3:$F$888889,"&lt;"&amp;I$3,programmer!$F$3:$F$888889,"&gt;="&amp;H$3,programmer!$F$3:$F$888889,"&lt;=" &amp;Réalisés!$E$4)*24</f>
        <v>0</v>
      </c>
      <c r="I11" s="110">
        <f ca="1">SUMIFS(programmer!$H$3:$H$888889,programmer!$E$3:$E$888889,Réalisés!$A11,programmer!$I$3:$I$888889,"Prog",programmer!$F$3:$F$888889,"&lt;"&amp;J$3,programmer!$F$3:$F$888889,"&gt;="&amp;I$3,programmer!$F$3:$F$888889,"&lt;=" &amp;Réalisés!$E$4)*24</f>
        <v>0</v>
      </c>
      <c r="J11" s="110">
        <f ca="1">SUMIFS(programmer!$H$3:$H$888889,programmer!$E$3:$E$888889,Réalisés!$A11,programmer!$I$3:$I$888889,"Prog",programmer!$F$3:$F$888889,"&lt;"&amp;K$3,programmer!$F$3:$F$888889,"&gt;="&amp;J$3,programmer!$F$3:$F$888889,"&lt;=" &amp;Réalisés!$E$4)*24</f>
        <v>0</v>
      </c>
      <c r="K11" s="110">
        <f ca="1">SUMIFS(programmer!$H$3:$H$888889,programmer!$E$3:$E$888889,Réalisés!$A11,programmer!$I$3:$I$888889,"Prog",programmer!$F$3:$F$888889,"&lt;"&amp;L$3,programmer!$F$3:$F$888889,"&gt;="&amp;K$3,programmer!$F$3:$F$888889,"&lt;=" &amp;Réalisés!$E$4)*24</f>
        <v>0</v>
      </c>
      <c r="L11" s="110">
        <f ca="1">SUMIFS(programmer!$H$3:$H$888889,programmer!$E$3:$E$888889,Réalisés!$A11,programmer!$I$3:$I$888889,"Prog",programmer!$F$3:$F$888889,"&lt;"&amp;M$3,programmer!$F$3:$F$888889,"&gt;="&amp;L$3,programmer!$F$3:$F$888889,"&lt;=" &amp;Réalisés!$E$4)*24</f>
        <v>0</v>
      </c>
      <c r="M11" s="110">
        <f ca="1">SUMIFS(programmer!$H$3:$H$888889,programmer!$E$3:$E$888889,Réalisés!$A11,programmer!$I$3:$I$888889,"Prog",programmer!$F$3:$F$888889,"&lt;"&amp;N$3,programmer!$F$3:$F$888889,"&gt;="&amp;M$3,programmer!$F$3:$F$888889,"&lt;=" &amp;Réalisés!$E$4)*24</f>
        <v>0</v>
      </c>
      <c r="N11" s="110">
        <f ca="1">SUMIFS(programmer!$H$3:$H$888889,programmer!$E$3:$E$888889,Réalisés!$A11,programmer!$I$3:$I$888889,"Prog",programmer!$F$3:$F$888889,"&lt;"&amp;O$3,programmer!$F$3:$F$888889,"&gt;="&amp;N$3,programmer!$F$3:$F$888889,"&lt;=" &amp;Réalisés!$E$4)*24</f>
        <v>0</v>
      </c>
      <c r="O11" s="110">
        <f ca="1">SUMIFS(programmer!$H$3:$H$888889,programmer!$E$3:$E$888889,Réalisés!$A11,programmer!$I$3:$I$888889,"Prog",programmer!$F$3:$F$888889,"&lt;"&amp;P$3,programmer!$F$3:$F$888889,"&gt;="&amp;O$3,programmer!$F$3:$F$888889,"&lt;=" &amp;Réalisés!$E$4)*24</f>
        <v>0</v>
      </c>
      <c r="P11" s="110">
        <f ca="1">SUMIFS(programmer!$H$3:$H$888889,programmer!$E$3:$E$888889,Réalisés!$A11,programmer!$I$3:$I$888889,"Prog",programmer!$F$3:$F$888889,"&lt;"&amp;Q$3,programmer!$F$3:$F$888889,"&gt;="&amp;P$3,programmer!$F$3:$F$888889,"&lt;=" &amp;Réalisés!$E$4)*24</f>
        <v>0</v>
      </c>
      <c r="Q11" s="110">
        <f ca="1">SUMIFS(programmer!$H$3:$H$888889,programmer!$E$3:$E$888889,Réalisés!$A11,programmer!$I$3:$I$888889,"Prog",programmer!$F$3:$F$888889,"&lt;"&amp;R$3,programmer!$F$3:$F$888889,"&gt;="&amp;Q$3,programmer!$F$3:$F$888889,"&lt;=" &amp;Réalisés!$E$4)*24</f>
        <v>0</v>
      </c>
      <c r="R11" s="110">
        <f ca="1">SUMIFS(programmer!$H$3:$H$888889,programmer!$E$3:$E$888889,Réalisés!$A11,programmer!$I$3:$I$888889,"Prog",programmer!$F$3:$F$888889,"&lt;"&amp;S$3,programmer!$F$3:$F$888889,"&gt;="&amp;R$3,programmer!$F$3:$F$888889,"&lt;=" &amp;Réalisés!$E$4)*24</f>
        <v>0</v>
      </c>
      <c r="S11" s="110">
        <f ca="1">SUMIFS(programmer!$H$3:$H$888889,programmer!$E$3:$E$888889,Réalisés!$A11,programmer!$I$3:$I$888889,"Prog",programmer!$F$3:$F$888889,"&lt;"&amp;T$3,programmer!$F$3:$F$888889,"&gt;="&amp;S$3,programmer!$F$3:$F$888889,"&lt;=" &amp;Réalisés!$E$4)*24</f>
        <v>0</v>
      </c>
    </row>
    <row r="12" spans="1:20" x14ac:dyDescent="0.25">
      <c r="A12" s="120"/>
      <c r="B12" s="120"/>
      <c r="C12" s="111"/>
      <c r="D12" s="112">
        <f ca="1">SUMIFS(programmer!$H$3:$H$888889,programmer!$E$3:$E$888889,Réalisés!$A12,programmer!$I$3:$I$888889,"Prog",programmer!$F$3:$F$888889,"&lt;=" &amp;Réalisés!$E$4)*24-(E12/2)</f>
        <v>0</v>
      </c>
      <c r="E12" s="112">
        <f ca="1">SUMIFS(programmer!$H$3:$H$888889,programmer!$E$3:$E$888889,Réalisés!$A12,programmer!$I$3:$I$888889,"Prog",programmer!$F$3:$F$888889,"&lt;=" &amp;Réalisés!$E$4,programmer!$B$3:$B$888889,"Activités")*24*2</f>
        <v>0</v>
      </c>
      <c r="F12" s="133">
        <f t="shared" ca="1" si="1"/>
        <v>0</v>
      </c>
      <c r="G12" s="113" t="e">
        <f t="shared" ca="1" si="2"/>
        <v>#DIV/0!</v>
      </c>
      <c r="H12" s="111">
        <f ca="1">SUMIFS(programmer!$H$3:$H$888889,programmer!$E$3:$E$888889,Réalisés!$A12,programmer!$I$3:$I$888889,"Prog",programmer!$F$3:$F$888889,"&lt;"&amp;I$3,programmer!$F$3:$F$888889,"&gt;="&amp;H$3,programmer!$F$3:$F$888889,"&lt;=" &amp;Réalisés!$E$4)*24</f>
        <v>0</v>
      </c>
      <c r="I12" s="111">
        <f ca="1">SUMIFS(programmer!$H$3:$H$888889,programmer!$E$3:$E$888889,Réalisés!$A12,programmer!$I$3:$I$888889,"Prog",programmer!$F$3:$F$888889,"&lt;"&amp;J$3,programmer!$F$3:$F$888889,"&gt;="&amp;I$3,programmer!$F$3:$F$888889,"&lt;=" &amp;Réalisés!$E$4)*24</f>
        <v>0</v>
      </c>
      <c r="J12" s="111">
        <f ca="1">SUMIFS(programmer!$H$3:$H$888889,programmer!$E$3:$E$888889,Réalisés!$A12,programmer!$I$3:$I$888889,"Prog",programmer!$F$3:$F$888889,"&lt;"&amp;K$3,programmer!$F$3:$F$888889,"&gt;="&amp;J$3,programmer!$F$3:$F$888889,"&lt;=" &amp;Réalisés!$E$4)*24</f>
        <v>0</v>
      </c>
      <c r="K12" s="111">
        <f ca="1">SUMIFS(programmer!$H$3:$H$888889,programmer!$E$3:$E$888889,Réalisés!$A12,programmer!$I$3:$I$888889,"Prog",programmer!$F$3:$F$888889,"&lt;"&amp;L$3,programmer!$F$3:$F$888889,"&gt;="&amp;K$3,programmer!$F$3:$F$888889,"&lt;=" &amp;Réalisés!$E$4)*24</f>
        <v>0</v>
      </c>
      <c r="L12" s="111">
        <f ca="1">SUMIFS(programmer!$H$3:$H$888889,programmer!$E$3:$E$888889,Réalisés!$A12,programmer!$I$3:$I$888889,"Prog",programmer!$F$3:$F$888889,"&lt;"&amp;M$3,programmer!$F$3:$F$888889,"&gt;="&amp;L$3,programmer!$F$3:$F$888889,"&lt;=" &amp;Réalisés!$E$4)*24</f>
        <v>0</v>
      </c>
      <c r="M12" s="111">
        <f ca="1">SUMIFS(programmer!$H$3:$H$888889,programmer!$E$3:$E$888889,Réalisés!$A12,programmer!$I$3:$I$888889,"Prog",programmer!$F$3:$F$888889,"&lt;"&amp;N$3,programmer!$F$3:$F$888889,"&gt;="&amp;M$3,programmer!$F$3:$F$888889,"&lt;=" &amp;Réalisés!$E$4)*24</f>
        <v>0</v>
      </c>
      <c r="N12" s="111">
        <f ca="1">SUMIFS(programmer!$H$3:$H$888889,programmer!$E$3:$E$888889,Réalisés!$A12,programmer!$I$3:$I$888889,"Prog",programmer!$F$3:$F$888889,"&lt;"&amp;O$3,programmer!$F$3:$F$888889,"&gt;="&amp;N$3,programmer!$F$3:$F$888889,"&lt;=" &amp;Réalisés!$E$4)*24</f>
        <v>0</v>
      </c>
      <c r="O12" s="111">
        <f ca="1">SUMIFS(programmer!$H$3:$H$888889,programmer!$E$3:$E$888889,Réalisés!$A12,programmer!$I$3:$I$888889,"Prog",programmer!$F$3:$F$888889,"&lt;"&amp;P$3,programmer!$F$3:$F$888889,"&gt;="&amp;O$3,programmer!$F$3:$F$888889,"&lt;=" &amp;Réalisés!$E$4)*24</f>
        <v>0</v>
      </c>
      <c r="P12" s="111">
        <f ca="1">SUMIFS(programmer!$H$3:$H$888889,programmer!$E$3:$E$888889,Réalisés!$A12,programmer!$I$3:$I$888889,"Prog",programmer!$F$3:$F$888889,"&lt;"&amp;Q$3,programmer!$F$3:$F$888889,"&gt;="&amp;P$3,programmer!$F$3:$F$888889,"&lt;=" &amp;Réalisés!$E$4)*24</f>
        <v>0</v>
      </c>
      <c r="Q12" s="111">
        <f ca="1">SUMIFS(programmer!$H$3:$H$888889,programmer!$E$3:$E$888889,Réalisés!$A12,programmer!$I$3:$I$888889,"Prog",programmer!$F$3:$F$888889,"&lt;"&amp;R$3,programmer!$F$3:$F$888889,"&gt;="&amp;Q$3,programmer!$F$3:$F$888889,"&lt;=" &amp;Réalisés!$E$4)*24</f>
        <v>0</v>
      </c>
      <c r="R12" s="111">
        <f ca="1">SUMIFS(programmer!$H$3:$H$888889,programmer!$E$3:$E$888889,Réalisés!$A12,programmer!$I$3:$I$888889,"Prog",programmer!$F$3:$F$888889,"&lt;"&amp;S$3,programmer!$F$3:$F$888889,"&gt;="&amp;R$3,programmer!$F$3:$F$888889,"&lt;=" &amp;Réalisés!$E$4)*24</f>
        <v>0</v>
      </c>
      <c r="S12" s="111">
        <f ca="1">SUMIFS(programmer!$H$3:$H$888889,programmer!$E$3:$E$888889,Réalisés!$A12,programmer!$I$3:$I$888889,"Prog",programmer!$F$3:$F$888889,"&lt;"&amp;T$3,programmer!$F$3:$F$888889,"&gt;="&amp;S$3,programmer!$F$3:$F$888889,"&lt;=" &amp;Réalisés!$E$4)*24</f>
        <v>0</v>
      </c>
    </row>
    <row r="13" spans="1:20" x14ac:dyDescent="0.25">
      <c r="A13" s="119"/>
      <c r="B13" s="119"/>
      <c r="C13" s="110"/>
      <c r="D13" s="112">
        <f ca="1">SUMIFS(programmer!$H$3:$H$888889,programmer!$E$3:$E$888889,Réalisés!$A13,programmer!$I$3:$I$888889,"Prog",programmer!$F$3:$F$888889,"&lt;=" &amp;Réalisés!$E$4)*24-(E13/2)</f>
        <v>0</v>
      </c>
      <c r="E13" s="112">
        <f ca="1">SUMIFS(programmer!$H$3:$H$888889,programmer!$E$3:$E$888889,Réalisés!$A13,programmer!$I$3:$I$888889,"Prog",programmer!$F$3:$F$888889,"&lt;=" &amp;Réalisés!$E$4,programmer!$B$3:$B$888889,"Activités")*24*2</f>
        <v>0</v>
      </c>
      <c r="F13" s="133">
        <f t="shared" ca="1" si="1"/>
        <v>0</v>
      </c>
      <c r="G13" s="113" t="e">
        <f t="shared" ca="1" si="2"/>
        <v>#DIV/0!</v>
      </c>
      <c r="H13" s="110">
        <f ca="1">SUMIFS(programmer!$H$3:$H$888889,programmer!$E$3:$E$888889,Réalisés!$A13,programmer!$I$3:$I$888889,"Prog",programmer!$F$3:$F$888889,"&lt;"&amp;I$3,programmer!$F$3:$F$888889,"&gt;="&amp;H$3,programmer!$F$3:$F$888889,"&lt;=" &amp;Réalisés!$E$4)*24</f>
        <v>0</v>
      </c>
      <c r="I13" s="110">
        <f ca="1">SUMIFS(programmer!$H$3:$H$888889,programmer!$E$3:$E$888889,Réalisés!$A13,programmer!$I$3:$I$888889,"Prog",programmer!$F$3:$F$888889,"&lt;"&amp;J$3,programmer!$F$3:$F$888889,"&gt;="&amp;I$3,programmer!$F$3:$F$888889,"&lt;=" &amp;Réalisés!$E$4)*24</f>
        <v>0</v>
      </c>
      <c r="J13" s="110">
        <f ca="1">SUMIFS(programmer!$H$3:$H$888889,programmer!$E$3:$E$888889,Réalisés!$A13,programmer!$I$3:$I$888889,"Prog",programmer!$F$3:$F$888889,"&lt;"&amp;K$3,programmer!$F$3:$F$888889,"&gt;="&amp;J$3,programmer!$F$3:$F$888889,"&lt;=" &amp;Réalisés!$E$4)*24</f>
        <v>0</v>
      </c>
      <c r="K13" s="110">
        <f ca="1">SUMIFS(programmer!$H$3:$H$888889,programmer!$E$3:$E$888889,Réalisés!$A13,programmer!$I$3:$I$888889,"Prog",programmer!$F$3:$F$888889,"&lt;"&amp;L$3,programmer!$F$3:$F$888889,"&gt;="&amp;K$3,programmer!$F$3:$F$888889,"&lt;=" &amp;Réalisés!$E$4)*24</f>
        <v>0</v>
      </c>
      <c r="L13" s="110">
        <f ca="1">SUMIFS(programmer!$H$3:$H$888889,programmer!$E$3:$E$888889,Réalisés!$A13,programmer!$I$3:$I$888889,"Prog",programmer!$F$3:$F$888889,"&lt;"&amp;M$3,programmer!$F$3:$F$888889,"&gt;="&amp;L$3,programmer!$F$3:$F$888889,"&lt;=" &amp;Réalisés!$E$4)*24</f>
        <v>0</v>
      </c>
      <c r="M13" s="110">
        <f ca="1">SUMIFS(programmer!$H$3:$H$888889,programmer!$E$3:$E$888889,Réalisés!$A13,programmer!$I$3:$I$888889,"Prog",programmer!$F$3:$F$888889,"&lt;"&amp;N$3,programmer!$F$3:$F$888889,"&gt;="&amp;M$3,programmer!$F$3:$F$888889,"&lt;=" &amp;Réalisés!$E$4)*24</f>
        <v>0</v>
      </c>
      <c r="N13" s="110">
        <f ca="1">SUMIFS(programmer!$H$3:$H$888889,programmer!$E$3:$E$888889,Réalisés!$A13,programmer!$I$3:$I$888889,"Prog",programmer!$F$3:$F$888889,"&lt;"&amp;O$3,programmer!$F$3:$F$888889,"&gt;="&amp;N$3,programmer!$F$3:$F$888889,"&lt;=" &amp;Réalisés!$E$4)*24</f>
        <v>0</v>
      </c>
      <c r="O13" s="110">
        <f ca="1">SUMIFS(programmer!$H$3:$H$888889,programmer!$E$3:$E$888889,Réalisés!$A13,programmer!$I$3:$I$888889,"Prog",programmer!$F$3:$F$888889,"&lt;"&amp;P$3,programmer!$F$3:$F$888889,"&gt;="&amp;O$3,programmer!$F$3:$F$888889,"&lt;=" &amp;Réalisés!$E$4)*24</f>
        <v>0</v>
      </c>
      <c r="P13" s="110">
        <f ca="1">SUMIFS(programmer!$H$3:$H$888889,programmer!$E$3:$E$888889,Réalisés!$A13,programmer!$I$3:$I$888889,"Prog",programmer!$F$3:$F$888889,"&lt;"&amp;Q$3,programmer!$F$3:$F$888889,"&gt;="&amp;P$3,programmer!$F$3:$F$888889,"&lt;=" &amp;Réalisés!$E$4)*24</f>
        <v>0</v>
      </c>
      <c r="Q13" s="110">
        <f ca="1">SUMIFS(programmer!$H$3:$H$888889,programmer!$E$3:$E$888889,Réalisés!$A13,programmer!$I$3:$I$888889,"Prog",programmer!$F$3:$F$888889,"&lt;"&amp;R$3,programmer!$F$3:$F$888889,"&gt;="&amp;Q$3,programmer!$F$3:$F$888889,"&lt;=" &amp;Réalisés!$E$4)*24</f>
        <v>0</v>
      </c>
      <c r="R13" s="110">
        <f ca="1">SUMIFS(programmer!$H$3:$H$888889,programmer!$E$3:$E$888889,Réalisés!$A13,programmer!$I$3:$I$888889,"Prog",programmer!$F$3:$F$888889,"&lt;"&amp;S$3,programmer!$F$3:$F$888889,"&gt;="&amp;R$3,programmer!$F$3:$F$888889,"&lt;=" &amp;Réalisés!$E$4)*24</f>
        <v>0</v>
      </c>
      <c r="S13" s="110">
        <f ca="1">SUMIFS(programmer!$H$3:$H$888889,programmer!$E$3:$E$888889,Réalisés!$A13,programmer!$I$3:$I$888889,"Prog",programmer!$F$3:$F$888889,"&lt;"&amp;T$3,programmer!$F$3:$F$888889,"&gt;="&amp;S$3,programmer!$F$3:$F$888889,"&lt;=" &amp;Réalisés!$E$4)*24</f>
        <v>0</v>
      </c>
    </row>
    <row r="14" spans="1:20" x14ac:dyDescent="0.25">
      <c r="A14" s="120"/>
      <c r="B14" s="120"/>
      <c r="C14" s="111"/>
      <c r="D14" s="112">
        <f ca="1">SUMIFS(programmer!$H$3:$H$888889,programmer!$E$3:$E$888889,Réalisés!$A14,programmer!$I$3:$I$888889,"Prog",programmer!$F$3:$F$888889,"&lt;=" &amp;Réalisés!$E$4)*24-(E14/2)</f>
        <v>0</v>
      </c>
      <c r="E14" s="112">
        <f ca="1">SUMIFS(programmer!$H$3:$H$888889,programmer!$E$3:$E$888889,Réalisés!$A14,programmer!$I$3:$I$888889,"Prog",programmer!$F$3:$F$888889,"&lt;=" &amp;Réalisés!$E$4,programmer!$B$3:$B$888889,"Activités")*24*2</f>
        <v>0</v>
      </c>
      <c r="F14" s="133">
        <f t="shared" ca="1" si="1"/>
        <v>0</v>
      </c>
      <c r="G14" s="113" t="e">
        <f t="shared" ca="1" si="2"/>
        <v>#DIV/0!</v>
      </c>
      <c r="H14" s="111">
        <f ca="1">SUMIFS(programmer!$H$3:$H$888889,programmer!$E$3:$E$888889,Réalisés!$A14,programmer!$I$3:$I$888889,"Prog",programmer!$F$3:$F$888889,"&lt;"&amp;I$3,programmer!$F$3:$F$888889,"&gt;="&amp;H$3,programmer!$F$3:$F$888889,"&lt;=" &amp;Réalisés!$E$4)*24</f>
        <v>0</v>
      </c>
      <c r="I14" s="111">
        <f ca="1">SUMIFS(programmer!$H$3:$H$888889,programmer!$E$3:$E$888889,Réalisés!$A14,programmer!$I$3:$I$888889,"Prog",programmer!$F$3:$F$888889,"&lt;"&amp;J$3,programmer!$F$3:$F$888889,"&gt;="&amp;I$3,programmer!$F$3:$F$888889,"&lt;=" &amp;Réalisés!$E$4)*24</f>
        <v>0</v>
      </c>
      <c r="J14" s="111">
        <f ca="1">SUMIFS(programmer!$H$3:$H$888889,programmer!$E$3:$E$888889,Réalisés!$A14,programmer!$I$3:$I$888889,"Prog",programmer!$F$3:$F$888889,"&lt;"&amp;K$3,programmer!$F$3:$F$888889,"&gt;="&amp;J$3,programmer!$F$3:$F$888889,"&lt;=" &amp;Réalisés!$E$4)*24</f>
        <v>0</v>
      </c>
      <c r="K14" s="111">
        <f ca="1">SUMIFS(programmer!$H$3:$H$888889,programmer!$E$3:$E$888889,Réalisés!$A14,programmer!$I$3:$I$888889,"Prog",programmer!$F$3:$F$888889,"&lt;"&amp;L$3,programmer!$F$3:$F$888889,"&gt;="&amp;K$3,programmer!$F$3:$F$888889,"&lt;=" &amp;Réalisés!$E$4)*24</f>
        <v>0</v>
      </c>
      <c r="L14" s="111">
        <f ca="1">SUMIFS(programmer!$H$3:$H$888889,programmer!$E$3:$E$888889,Réalisés!$A14,programmer!$I$3:$I$888889,"Prog",programmer!$F$3:$F$888889,"&lt;"&amp;M$3,programmer!$F$3:$F$888889,"&gt;="&amp;L$3,programmer!$F$3:$F$888889,"&lt;=" &amp;Réalisés!$E$4)*24</f>
        <v>0</v>
      </c>
      <c r="M14" s="111">
        <f ca="1">SUMIFS(programmer!$H$3:$H$888889,programmer!$E$3:$E$888889,Réalisés!$A14,programmer!$I$3:$I$888889,"Prog",programmer!$F$3:$F$888889,"&lt;"&amp;N$3,programmer!$F$3:$F$888889,"&gt;="&amp;M$3,programmer!$F$3:$F$888889,"&lt;=" &amp;Réalisés!$E$4)*24</f>
        <v>0</v>
      </c>
      <c r="N14" s="111">
        <f ca="1">SUMIFS(programmer!$H$3:$H$888889,programmer!$E$3:$E$888889,Réalisés!$A14,programmer!$I$3:$I$888889,"Prog",programmer!$F$3:$F$888889,"&lt;"&amp;O$3,programmer!$F$3:$F$888889,"&gt;="&amp;N$3,programmer!$F$3:$F$888889,"&lt;=" &amp;Réalisés!$E$4)*24</f>
        <v>0</v>
      </c>
      <c r="O14" s="111">
        <f ca="1">SUMIFS(programmer!$H$3:$H$888889,programmer!$E$3:$E$888889,Réalisés!$A14,programmer!$I$3:$I$888889,"Prog",programmer!$F$3:$F$888889,"&lt;"&amp;P$3,programmer!$F$3:$F$888889,"&gt;="&amp;O$3,programmer!$F$3:$F$888889,"&lt;=" &amp;Réalisés!$E$4)*24</f>
        <v>0</v>
      </c>
      <c r="P14" s="111">
        <f ca="1">SUMIFS(programmer!$H$3:$H$888889,programmer!$E$3:$E$888889,Réalisés!$A14,programmer!$I$3:$I$888889,"Prog",programmer!$F$3:$F$888889,"&lt;"&amp;Q$3,programmer!$F$3:$F$888889,"&gt;="&amp;P$3,programmer!$F$3:$F$888889,"&lt;=" &amp;Réalisés!$E$4)*24</f>
        <v>0</v>
      </c>
      <c r="Q14" s="111">
        <f ca="1">SUMIFS(programmer!$H$3:$H$888889,programmer!$E$3:$E$888889,Réalisés!$A14,programmer!$I$3:$I$888889,"Prog",programmer!$F$3:$F$888889,"&lt;"&amp;R$3,programmer!$F$3:$F$888889,"&gt;="&amp;Q$3,programmer!$F$3:$F$888889,"&lt;=" &amp;Réalisés!$E$4)*24</f>
        <v>0</v>
      </c>
      <c r="R14" s="111">
        <f ca="1">SUMIFS(programmer!$H$3:$H$888889,programmer!$E$3:$E$888889,Réalisés!$A14,programmer!$I$3:$I$888889,"Prog",programmer!$F$3:$F$888889,"&lt;"&amp;S$3,programmer!$F$3:$F$888889,"&gt;="&amp;R$3,programmer!$F$3:$F$888889,"&lt;=" &amp;Réalisés!$E$4)*24</f>
        <v>0</v>
      </c>
      <c r="S14" s="111">
        <f ca="1">SUMIFS(programmer!$H$3:$H$888889,programmer!$E$3:$E$888889,Réalisés!$A14,programmer!$I$3:$I$888889,"Prog",programmer!$F$3:$F$888889,"&lt;"&amp;T$3,programmer!$F$3:$F$888889,"&gt;="&amp;S$3,programmer!$F$3:$F$888889,"&lt;=" &amp;Réalisés!$E$4)*24</f>
        <v>0</v>
      </c>
    </row>
    <row r="15" spans="1:20" x14ac:dyDescent="0.25">
      <c r="A15" s="119"/>
      <c r="B15" s="119"/>
      <c r="C15" s="110"/>
      <c r="D15" s="112">
        <f ca="1">SUMIFS(programmer!$H$3:$H$888889,programmer!$E$3:$E$888889,Réalisés!$A15,programmer!$I$3:$I$888889,"Prog",programmer!$F$3:$F$888889,"&lt;=" &amp;Réalisés!$E$4)*24-(E15/2)</f>
        <v>0</v>
      </c>
      <c r="E15" s="112">
        <f ca="1">SUMIFS(programmer!$H$3:$H$888889,programmer!$E$3:$E$888889,Réalisés!$A15,programmer!$I$3:$I$888889,"Prog",programmer!$F$3:$F$888889,"&lt;=" &amp;Réalisés!$E$4,programmer!$B$3:$B$888889,"Activités")*24*2</f>
        <v>0</v>
      </c>
      <c r="F15" s="133">
        <f t="shared" ca="1" si="1"/>
        <v>0</v>
      </c>
      <c r="G15" s="113" t="e">
        <f t="shared" ca="1" si="2"/>
        <v>#DIV/0!</v>
      </c>
      <c r="H15" s="110">
        <f ca="1">SUMIFS(programmer!$H$3:$H$888889,programmer!$E$3:$E$888889,Réalisés!$A15,programmer!$I$3:$I$888889,"Prog",programmer!$F$3:$F$888889,"&lt;"&amp;I$3,programmer!$F$3:$F$888889,"&gt;="&amp;H$3,programmer!$F$3:$F$888889,"&lt;=" &amp;Réalisés!$E$4)*24</f>
        <v>0</v>
      </c>
      <c r="I15" s="110">
        <f ca="1">SUMIFS(programmer!$H$3:$H$888889,programmer!$E$3:$E$888889,Réalisés!$A15,programmer!$I$3:$I$888889,"Prog",programmer!$F$3:$F$888889,"&lt;"&amp;J$3,programmer!$F$3:$F$888889,"&gt;="&amp;I$3,programmer!$F$3:$F$888889,"&lt;=" &amp;Réalisés!$E$4)*24</f>
        <v>0</v>
      </c>
      <c r="J15" s="110">
        <f ca="1">SUMIFS(programmer!$H$3:$H$888889,programmer!$E$3:$E$888889,Réalisés!$A15,programmer!$I$3:$I$888889,"Prog",programmer!$F$3:$F$888889,"&lt;"&amp;K$3,programmer!$F$3:$F$888889,"&gt;="&amp;J$3,programmer!$F$3:$F$888889,"&lt;=" &amp;Réalisés!$E$4)*24</f>
        <v>0</v>
      </c>
      <c r="K15" s="110">
        <f ca="1">SUMIFS(programmer!$H$3:$H$888889,programmer!$E$3:$E$888889,Réalisés!$A15,programmer!$I$3:$I$888889,"Prog",programmer!$F$3:$F$888889,"&lt;"&amp;L$3,programmer!$F$3:$F$888889,"&gt;="&amp;K$3,programmer!$F$3:$F$888889,"&lt;=" &amp;Réalisés!$E$4)*24</f>
        <v>0</v>
      </c>
      <c r="L15" s="110">
        <f ca="1">SUMIFS(programmer!$H$3:$H$888889,programmer!$E$3:$E$888889,Réalisés!$A15,programmer!$I$3:$I$888889,"Prog",programmer!$F$3:$F$888889,"&lt;"&amp;M$3,programmer!$F$3:$F$888889,"&gt;="&amp;L$3,programmer!$F$3:$F$888889,"&lt;=" &amp;Réalisés!$E$4)*24</f>
        <v>0</v>
      </c>
      <c r="M15" s="110">
        <f ca="1">SUMIFS(programmer!$H$3:$H$888889,programmer!$E$3:$E$888889,Réalisés!$A15,programmer!$I$3:$I$888889,"Prog",programmer!$F$3:$F$888889,"&lt;"&amp;N$3,programmer!$F$3:$F$888889,"&gt;="&amp;M$3,programmer!$F$3:$F$888889,"&lt;=" &amp;Réalisés!$E$4)*24</f>
        <v>0</v>
      </c>
      <c r="N15" s="110">
        <f ca="1">SUMIFS(programmer!$H$3:$H$888889,programmer!$E$3:$E$888889,Réalisés!$A15,programmer!$I$3:$I$888889,"Prog",programmer!$F$3:$F$888889,"&lt;"&amp;O$3,programmer!$F$3:$F$888889,"&gt;="&amp;N$3,programmer!$F$3:$F$888889,"&lt;=" &amp;Réalisés!$E$4)*24</f>
        <v>0</v>
      </c>
      <c r="O15" s="110">
        <f ca="1">SUMIFS(programmer!$H$3:$H$888889,programmer!$E$3:$E$888889,Réalisés!$A15,programmer!$I$3:$I$888889,"Prog",programmer!$F$3:$F$888889,"&lt;"&amp;P$3,programmer!$F$3:$F$888889,"&gt;="&amp;O$3,programmer!$F$3:$F$888889,"&lt;=" &amp;Réalisés!$E$4)*24</f>
        <v>0</v>
      </c>
      <c r="P15" s="110">
        <f ca="1">SUMIFS(programmer!$H$3:$H$888889,programmer!$E$3:$E$888889,Réalisés!$A15,programmer!$I$3:$I$888889,"Prog",programmer!$F$3:$F$888889,"&lt;"&amp;Q$3,programmer!$F$3:$F$888889,"&gt;="&amp;P$3,programmer!$F$3:$F$888889,"&lt;=" &amp;Réalisés!$E$4)*24</f>
        <v>0</v>
      </c>
      <c r="Q15" s="110">
        <f ca="1">SUMIFS(programmer!$H$3:$H$888889,programmer!$E$3:$E$888889,Réalisés!$A15,programmer!$I$3:$I$888889,"Prog",programmer!$F$3:$F$888889,"&lt;"&amp;R$3,programmer!$F$3:$F$888889,"&gt;="&amp;Q$3,programmer!$F$3:$F$888889,"&lt;=" &amp;Réalisés!$E$4)*24</f>
        <v>0</v>
      </c>
      <c r="R15" s="110">
        <f ca="1">SUMIFS(programmer!$H$3:$H$888889,programmer!$E$3:$E$888889,Réalisés!$A15,programmer!$I$3:$I$888889,"Prog",programmer!$F$3:$F$888889,"&lt;"&amp;S$3,programmer!$F$3:$F$888889,"&gt;="&amp;R$3,programmer!$F$3:$F$888889,"&lt;=" &amp;Réalisés!$E$4)*24</f>
        <v>0</v>
      </c>
      <c r="S15" s="110">
        <f ca="1">SUMIFS(programmer!$H$3:$H$888889,programmer!$E$3:$E$888889,Réalisés!$A15,programmer!$I$3:$I$888889,"Prog",programmer!$F$3:$F$888889,"&lt;"&amp;T$3,programmer!$F$3:$F$888889,"&gt;="&amp;S$3,programmer!$F$3:$F$888889,"&lt;=" &amp;Réalisés!$E$4)*24</f>
        <v>0</v>
      </c>
    </row>
    <row r="16" spans="1:20" x14ac:dyDescent="0.25">
      <c r="A16" s="120"/>
      <c r="B16" s="120"/>
      <c r="C16" s="111"/>
      <c r="D16" s="112">
        <f ca="1">SUMIFS(programmer!$H$3:$H$888889,programmer!$E$3:$E$888889,Réalisés!$A16,programmer!$I$3:$I$888889,"Prog",programmer!$F$3:$F$888889,"&lt;=" &amp;Réalisés!$E$4)*24-(E16/2)</f>
        <v>0</v>
      </c>
      <c r="E16" s="112">
        <f ca="1">SUMIFS(programmer!$H$3:$H$888889,programmer!$E$3:$E$888889,Réalisés!$A16,programmer!$I$3:$I$888889,"Prog",programmer!$F$3:$F$888889,"&lt;=" &amp;Réalisés!$E$4,programmer!$B$3:$B$888889,"Activités")*24*2</f>
        <v>0</v>
      </c>
      <c r="F16" s="133">
        <f t="shared" ca="1" si="1"/>
        <v>0</v>
      </c>
      <c r="G16" s="113" t="e">
        <f t="shared" ca="1" si="2"/>
        <v>#DIV/0!</v>
      </c>
      <c r="H16" s="111">
        <f ca="1">SUMIFS(programmer!$H$3:$H$888889,programmer!$E$3:$E$888889,Réalisés!$A16,programmer!$I$3:$I$888889,"Prog",programmer!$F$3:$F$888889,"&lt;"&amp;I$3,programmer!$F$3:$F$888889,"&gt;="&amp;H$3,programmer!$F$3:$F$888889,"&lt;=" &amp;Réalisés!$E$4)*24</f>
        <v>0</v>
      </c>
      <c r="I16" s="111">
        <f ca="1">SUMIFS(programmer!$H$3:$H$888889,programmer!$E$3:$E$888889,Réalisés!$A16,programmer!$I$3:$I$888889,"Prog",programmer!$F$3:$F$888889,"&lt;"&amp;J$3,programmer!$F$3:$F$888889,"&gt;="&amp;I$3,programmer!$F$3:$F$888889,"&lt;=" &amp;Réalisés!$E$4)*24</f>
        <v>0</v>
      </c>
      <c r="J16" s="111">
        <f ca="1">SUMIFS(programmer!$H$3:$H$888889,programmer!$E$3:$E$888889,Réalisés!$A16,programmer!$I$3:$I$888889,"Prog",programmer!$F$3:$F$888889,"&lt;"&amp;K$3,programmer!$F$3:$F$888889,"&gt;="&amp;J$3,programmer!$F$3:$F$888889,"&lt;=" &amp;Réalisés!$E$4)*24</f>
        <v>0</v>
      </c>
      <c r="K16" s="111">
        <f ca="1">SUMIFS(programmer!$H$3:$H$888889,programmer!$E$3:$E$888889,Réalisés!$A16,programmer!$I$3:$I$888889,"Prog",programmer!$F$3:$F$888889,"&lt;"&amp;L$3,programmer!$F$3:$F$888889,"&gt;="&amp;K$3,programmer!$F$3:$F$888889,"&lt;=" &amp;Réalisés!$E$4)*24</f>
        <v>0</v>
      </c>
      <c r="L16" s="111">
        <f ca="1">SUMIFS(programmer!$H$3:$H$888889,programmer!$E$3:$E$888889,Réalisés!$A16,programmer!$I$3:$I$888889,"Prog",programmer!$F$3:$F$888889,"&lt;"&amp;M$3,programmer!$F$3:$F$888889,"&gt;="&amp;L$3,programmer!$F$3:$F$888889,"&lt;=" &amp;Réalisés!$E$4)*24</f>
        <v>0</v>
      </c>
      <c r="M16" s="111">
        <f ca="1">SUMIFS(programmer!$H$3:$H$888889,programmer!$E$3:$E$888889,Réalisés!$A16,programmer!$I$3:$I$888889,"Prog",programmer!$F$3:$F$888889,"&lt;"&amp;N$3,programmer!$F$3:$F$888889,"&gt;="&amp;M$3,programmer!$F$3:$F$888889,"&lt;=" &amp;Réalisés!$E$4)*24</f>
        <v>0</v>
      </c>
      <c r="N16" s="111">
        <f ca="1">SUMIFS(programmer!$H$3:$H$888889,programmer!$E$3:$E$888889,Réalisés!$A16,programmer!$I$3:$I$888889,"Prog",programmer!$F$3:$F$888889,"&lt;"&amp;O$3,programmer!$F$3:$F$888889,"&gt;="&amp;N$3,programmer!$F$3:$F$888889,"&lt;=" &amp;Réalisés!$E$4)*24</f>
        <v>0</v>
      </c>
      <c r="O16" s="111">
        <f ca="1">SUMIFS(programmer!$H$3:$H$888889,programmer!$E$3:$E$888889,Réalisés!$A16,programmer!$I$3:$I$888889,"Prog",programmer!$F$3:$F$888889,"&lt;"&amp;P$3,programmer!$F$3:$F$888889,"&gt;="&amp;O$3,programmer!$F$3:$F$888889,"&lt;=" &amp;Réalisés!$E$4)*24</f>
        <v>0</v>
      </c>
      <c r="P16" s="111">
        <f ca="1">SUMIFS(programmer!$H$3:$H$888889,programmer!$E$3:$E$888889,Réalisés!$A16,programmer!$I$3:$I$888889,"Prog",programmer!$F$3:$F$888889,"&lt;"&amp;Q$3,programmer!$F$3:$F$888889,"&gt;="&amp;P$3,programmer!$F$3:$F$888889,"&lt;=" &amp;Réalisés!$E$4)*24</f>
        <v>0</v>
      </c>
      <c r="Q16" s="111">
        <f ca="1">SUMIFS(programmer!$H$3:$H$888889,programmer!$E$3:$E$888889,Réalisés!$A16,programmer!$I$3:$I$888889,"Prog",programmer!$F$3:$F$888889,"&lt;"&amp;R$3,programmer!$F$3:$F$888889,"&gt;="&amp;Q$3,programmer!$F$3:$F$888889,"&lt;=" &amp;Réalisés!$E$4)*24</f>
        <v>0</v>
      </c>
      <c r="R16" s="111">
        <f ca="1">SUMIFS(programmer!$H$3:$H$888889,programmer!$E$3:$E$888889,Réalisés!$A16,programmer!$I$3:$I$888889,"Prog",programmer!$F$3:$F$888889,"&lt;"&amp;S$3,programmer!$F$3:$F$888889,"&gt;="&amp;R$3,programmer!$F$3:$F$888889,"&lt;=" &amp;Réalisés!$E$4)*24</f>
        <v>0</v>
      </c>
      <c r="S16" s="111">
        <f ca="1">SUMIFS(programmer!$H$3:$H$888889,programmer!$E$3:$E$888889,Réalisés!$A16,programmer!$I$3:$I$888889,"Prog",programmer!$F$3:$F$888889,"&lt;"&amp;T$3,programmer!$F$3:$F$888889,"&gt;="&amp;S$3,programmer!$F$3:$F$888889,"&lt;=" &amp;Réalisés!$E$4)*24</f>
        <v>0</v>
      </c>
    </row>
    <row r="17" spans="1:19" x14ac:dyDescent="0.25">
      <c r="A17" s="119"/>
      <c r="B17" s="119"/>
      <c r="C17" s="110"/>
      <c r="D17" s="112">
        <f ca="1">SUMIFS(programmer!$H$3:$H$888889,programmer!$E$3:$E$888889,Réalisés!$A17,programmer!$I$3:$I$888889,"Prog",programmer!$F$3:$F$888889,"&lt;=" &amp;Réalisés!$E$4)*24-(E17/2)</f>
        <v>0</v>
      </c>
      <c r="E17" s="112">
        <f ca="1">SUMIFS(programmer!$H$3:$H$888889,programmer!$E$3:$E$888889,Réalisés!$A17,programmer!$I$3:$I$888889,"Prog",programmer!$F$3:$F$888889,"&lt;=" &amp;Réalisés!$E$4,programmer!$B$3:$B$888889,"Activités")*24*2</f>
        <v>0</v>
      </c>
      <c r="F17" s="133">
        <f t="shared" ca="1" si="1"/>
        <v>0</v>
      </c>
      <c r="G17" s="113" t="e">
        <f t="shared" ca="1" si="2"/>
        <v>#DIV/0!</v>
      </c>
      <c r="H17" s="111">
        <f ca="1">SUMIFS(programmer!$H$3:$H$888889,programmer!$E$3:$E$888889,Réalisés!$A17,programmer!$I$3:$I$888889,"Prog",programmer!$F$3:$F$888889,"&lt;"&amp;I$3,programmer!$F$3:$F$888889,"&gt;="&amp;H$3,programmer!$F$3:$F$888889,"&lt;=" &amp;Réalisés!$E$4)*24</f>
        <v>0</v>
      </c>
      <c r="I17" s="111">
        <f ca="1">SUMIFS(programmer!$H$3:$H$888889,programmer!$E$3:$E$888889,Réalisés!$A17,programmer!$I$3:$I$888889,"Prog",programmer!$F$3:$F$888889,"&lt;"&amp;J$3,programmer!$F$3:$F$888889,"&gt;="&amp;I$3,programmer!$F$3:$F$888889,"&lt;=" &amp;Réalisés!$E$4)*24</f>
        <v>0</v>
      </c>
      <c r="J17" s="111">
        <f ca="1">SUMIFS(programmer!$H$3:$H$888889,programmer!$E$3:$E$888889,Réalisés!$A17,programmer!$I$3:$I$888889,"Prog",programmer!$F$3:$F$888889,"&lt;"&amp;K$3,programmer!$F$3:$F$888889,"&gt;="&amp;J$3,programmer!$F$3:$F$888889,"&lt;=" &amp;Réalisés!$E$4)*24</f>
        <v>0</v>
      </c>
      <c r="K17" s="111">
        <f ca="1">SUMIFS(programmer!$H$3:$H$888889,programmer!$E$3:$E$888889,Réalisés!$A17,programmer!$I$3:$I$888889,"Prog",programmer!$F$3:$F$888889,"&lt;"&amp;L$3,programmer!$F$3:$F$888889,"&gt;="&amp;K$3,programmer!$F$3:$F$888889,"&lt;=" &amp;Réalisés!$E$4)*24</f>
        <v>0</v>
      </c>
      <c r="L17" s="111">
        <f ca="1">SUMIFS(programmer!$H$3:$H$888889,programmer!$E$3:$E$888889,Réalisés!$A17,programmer!$I$3:$I$888889,"Prog",programmer!$F$3:$F$888889,"&lt;"&amp;M$3,programmer!$F$3:$F$888889,"&gt;="&amp;L$3,programmer!$F$3:$F$888889,"&lt;=" &amp;Réalisés!$E$4)*24</f>
        <v>0</v>
      </c>
      <c r="M17" s="111">
        <f ca="1">SUMIFS(programmer!$H$3:$H$888889,programmer!$E$3:$E$888889,Réalisés!$A17,programmer!$I$3:$I$888889,"Prog",programmer!$F$3:$F$888889,"&lt;"&amp;N$3,programmer!$F$3:$F$888889,"&gt;="&amp;M$3,programmer!$F$3:$F$888889,"&lt;=" &amp;Réalisés!$E$4)*24</f>
        <v>0</v>
      </c>
      <c r="N17" s="111">
        <f ca="1">SUMIFS(programmer!$H$3:$H$888889,programmer!$E$3:$E$888889,Réalisés!$A17,programmer!$I$3:$I$888889,"Prog",programmer!$F$3:$F$888889,"&lt;"&amp;O$3,programmer!$F$3:$F$888889,"&gt;="&amp;N$3,programmer!$F$3:$F$888889,"&lt;=" &amp;Réalisés!$E$4)*24</f>
        <v>0</v>
      </c>
      <c r="O17" s="111">
        <f ca="1">SUMIFS(programmer!$H$3:$H$888889,programmer!$E$3:$E$888889,Réalisés!$A17,programmer!$I$3:$I$888889,"Prog",programmer!$F$3:$F$888889,"&lt;"&amp;P$3,programmer!$F$3:$F$888889,"&gt;="&amp;O$3,programmer!$F$3:$F$888889,"&lt;=" &amp;Réalisés!$E$4)*24</f>
        <v>0</v>
      </c>
      <c r="P17" s="111">
        <f ca="1">SUMIFS(programmer!$H$3:$H$888889,programmer!$E$3:$E$888889,Réalisés!$A17,programmer!$I$3:$I$888889,"Prog",programmer!$F$3:$F$888889,"&lt;"&amp;Q$3,programmer!$F$3:$F$888889,"&gt;="&amp;P$3,programmer!$F$3:$F$888889,"&lt;=" &amp;Réalisés!$E$4)*24</f>
        <v>0</v>
      </c>
      <c r="Q17" s="111">
        <f ca="1">SUMIFS(programmer!$H$3:$H$888889,programmer!$E$3:$E$888889,Réalisés!$A17,programmer!$I$3:$I$888889,"Prog",programmer!$F$3:$F$888889,"&lt;"&amp;R$3,programmer!$F$3:$F$888889,"&gt;="&amp;Q$3,programmer!$F$3:$F$888889,"&lt;=" &amp;Réalisés!$E$4)*24</f>
        <v>0</v>
      </c>
      <c r="R17" s="111">
        <f ca="1">SUMIFS(programmer!$H$3:$H$888889,programmer!$E$3:$E$888889,Réalisés!$A17,programmer!$I$3:$I$888889,"Prog",programmer!$F$3:$F$888889,"&lt;"&amp;S$3,programmer!$F$3:$F$888889,"&gt;="&amp;R$3,programmer!$F$3:$F$888889,"&lt;=" &amp;Réalisés!$E$4)*24</f>
        <v>0</v>
      </c>
      <c r="S17" s="111">
        <f ca="1">SUMIFS(programmer!$H$3:$H$888889,programmer!$E$3:$E$888889,Réalisés!$A17,programmer!$I$3:$I$888889,"Prog",programmer!$F$3:$F$888889,"&lt;"&amp;T$3,programmer!$F$3:$F$888889,"&gt;="&amp;S$3,programmer!$F$3:$F$888889,"&lt;=" &amp;Réalisés!$E$4)*24</f>
        <v>0</v>
      </c>
    </row>
    <row r="18" spans="1:19" x14ac:dyDescent="0.25">
      <c r="A18" s="120"/>
      <c r="B18" s="120"/>
      <c r="C18" s="110"/>
      <c r="D18" s="112">
        <f ca="1">SUMIFS(programmer!$H$3:$H$888889,programmer!$E$3:$E$888889,Réalisés!$A18,programmer!$I$3:$I$888889,"Prog",programmer!$F$3:$F$888889,"&lt;=" &amp;Réalisés!$E$4)*24-(E18/2)</f>
        <v>0</v>
      </c>
      <c r="E18" s="112">
        <f ca="1">SUMIFS(programmer!$H$3:$H$888889,programmer!$E$3:$E$888889,Réalisés!$A18,programmer!$I$3:$I$888889,"Prog",programmer!$F$3:$F$888889,"&lt;=" &amp;Réalisés!$E$4,programmer!$B$3:$B$888889,"Activités")*24*2</f>
        <v>0</v>
      </c>
      <c r="F18" s="133">
        <f t="shared" ca="1" si="1"/>
        <v>0</v>
      </c>
      <c r="G18" s="113" t="e">
        <f t="shared" ca="1" si="2"/>
        <v>#DIV/0!</v>
      </c>
      <c r="H18" s="111">
        <f ca="1">SUMIFS(programmer!$H$3:$H$888889,programmer!$E$3:$E$888889,Réalisés!$A18,programmer!$I$3:$I$888889,"Prog",programmer!$F$3:$F$888889,"&lt;"&amp;I$3,programmer!$F$3:$F$888889,"&gt;="&amp;H$3,programmer!$F$3:$F$888889,"&lt;=" &amp;Réalisés!$E$4)*24</f>
        <v>0</v>
      </c>
      <c r="I18" s="111">
        <f ca="1">SUMIFS(programmer!$H$3:$H$888889,programmer!$E$3:$E$888889,Réalisés!$A18,programmer!$I$3:$I$888889,"Prog",programmer!$F$3:$F$888889,"&lt;"&amp;J$3,programmer!$F$3:$F$888889,"&gt;="&amp;I$3,programmer!$F$3:$F$888889,"&lt;=" &amp;Réalisés!$E$4)*24</f>
        <v>0</v>
      </c>
      <c r="J18" s="111">
        <f ca="1">SUMIFS(programmer!$H$3:$H$888889,programmer!$E$3:$E$888889,Réalisés!$A18,programmer!$I$3:$I$888889,"Prog",programmer!$F$3:$F$888889,"&lt;"&amp;K$3,programmer!$F$3:$F$888889,"&gt;="&amp;J$3,programmer!$F$3:$F$888889,"&lt;=" &amp;Réalisés!$E$4)*24</f>
        <v>0</v>
      </c>
      <c r="K18" s="111">
        <f ca="1">SUMIFS(programmer!$H$3:$H$888889,programmer!$E$3:$E$888889,Réalisés!$A18,programmer!$I$3:$I$888889,"Prog",programmer!$F$3:$F$888889,"&lt;"&amp;L$3,programmer!$F$3:$F$888889,"&gt;="&amp;K$3,programmer!$F$3:$F$888889,"&lt;=" &amp;Réalisés!$E$4)*24</f>
        <v>0</v>
      </c>
      <c r="L18" s="111">
        <f ca="1">SUMIFS(programmer!$H$3:$H$888889,programmer!$E$3:$E$888889,Réalisés!$A18,programmer!$I$3:$I$888889,"Prog",programmer!$F$3:$F$888889,"&lt;"&amp;M$3,programmer!$F$3:$F$888889,"&gt;="&amp;L$3,programmer!$F$3:$F$888889,"&lt;=" &amp;Réalisés!$E$4)*24</f>
        <v>0</v>
      </c>
      <c r="M18" s="111">
        <f ca="1">SUMIFS(programmer!$H$3:$H$888889,programmer!$E$3:$E$888889,Réalisés!$A18,programmer!$I$3:$I$888889,"Prog",programmer!$F$3:$F$888889,"&lt;"&amp;N$3,programmer!$F$3:$F$888889,"&gt;="&amp;M$3,programmer!$F$3:$F$888889,"&lt;=" &amp;Réalisés!$E$4)*24</f>
        <v>0</v>
      </c>
      <c r="N18" s="111">
        <f ca="1">SUMIFS(programmer!$H$3:$H$888889,programmer!$E$3:$E$888889,Réalisés!$A18,programmer!$I$3:$I$888889,"Prog",programmer!$F$3:$F$888889,"&lt;"&amp;O$3,programmer!$F$3:$F$888889,"&gt;="&amp;N$3,programmer!$F$3:$F$888889,"&lt;=" &amp;Réalisés!$E$4)*24</f>
        <v>0</v>
      </c>
      <c r="O18" s="111">
        <f ca="1">SUMIFS(programmer!$H$3:$H$888889,programmer!$E$3:$E$888889,Réalisés!$A18,programmer!$I$3:$I$888889,"Prog",programmer!$F$3:$F$888889,"&lt;"&amp;P$3,programmer!$F$3:$F$888889,"&gt;="&amp;O$3,programmer!$F$3:$F$888889,"&lt;=" &amp;Réalisés!$E$4)*24</f>
        <v>0</v>
      </c>
      <c r="P18" s="111">
        <f ca="1">SUMIFS(programmer!$H$3:$H$888889,programmer!$E$3:$E$888889,Réalisés!$A18,programmer!$I$3:$I$888889,"Prog",programmer!$F$3:$F$888889,"&lt;"&amp;Q$3,programmer!$F$3:$F$888889,"&gt;="&amp;P$3,programmer!$F$3:$F$888889,"&lt;=" &amp;Réalisés!$E$4)*24</f>
        <v>0</v>
      </c>
      <c r="Q18" s="111">
        <f ca="1">SUMIFS(programmer!$H$3:$H$888889,programmer!$E$3:$E$888889,Réalisés!$A18,programmer!$I$3:$I$888889,"Prog",programmer!$F$3:$F$888889,"&lt;"&amp;R$3,programmer!$F$3:$F$888889,"&gt;="&amp;Q$3,programmer!$F$3:$F$888889,"&lt;=" &amp;Réalisés!$E$4)*24</f>
        <v>0</v>
      </c>
      <c r="R18" s="111">
        <f ca="1">SUMIFS(programmer!$H$3:$H$888889,programmer!$E$3:$E$888889,Réalisés!$A18,programmer!$I$3:$I$888889,"Prog",programmer!$F$3:$F$888889,"&lt;"&amp;S$3,programmer!$F$3:$F$888889,"&gt;="&amp;R$3,programmer!$F$3:$F$888889,"&lt;=" &amp;Réalisés!$E$4)*24</f>
        <v>0</v>
      </c>
      <c r="S18" s="111">
        <f ca="1">SUMIFS(programmer!$H$3:$H$888889,programmer!$E$3:$E$888889,Réalisés!$A18,programmer!$I$3:$I$888889,"Prog",programmer!$F$3:$F$888889,"&lt;"&amp;T$3,programmer!$F$3:$F$888889,"&gt;="&amp;S$3,programmer!$F$3:$F$888889,"&lt;=" &amp;Réalisés!$E$4)*24</f>
        <v>0</v>
      </c>
    </row>
    <row r="19" spans="1:19" x14ac:dyDescent="0.25">
      <c r="A19" s="119"/>
      <c r="B19" s="110"/>
      <c r="C19" s="110"/>
      <c r="D19" s="112">
        <f ca="1">SUMIFS(programmer!$H$3:$H$888889,programmer!$E$3:$E$888889,Réalisés!$A19,programmer!$I$3:$I$888889,"Prog",programmer!$F$3:$F$888889,"&lt;=" &amp;Réalisés!$E$4)*24-(E19/2)</f>
        <v>0</v>
      </c>
      <c r="E19" s="112">
        <f ca="1">SUMIFS(programmer!$H$3:$H$888889,programmer!$E$3:$E$888889,Réalisés!$A19,programmer!$I$3:$I$888889,"Prog",programmer!$F$3:$F$888889,"&lt;=" &amp;Réalisés!$E$4,programmer!$B$3:$B$888889,"Activités")*24*2</f>
        <v>0</v>
      </c>
      <c r="F19" s="133">
        <f t="shared" ca="1" si="1"/>
        <v>0</v>
      </c>
      <c r="G19" s="113" t="e">
        <f t="shared" ca="1" si="2"/>
        <v>#DIV/0!</v>
      </c>
      <c r="H19" s="110">
        <f ca="1">SUMIFS(programmer!$H$3:$H$888889,programmer!$E$3:$E$888889,Réalisés!$A19,programmer!$I$3:$I$888889,"Prog",programmer!$F$3:$F$888889,"&lt;"&amp;I$3,programmer!$F$3:$F$888889,"&gt;="&amp;H$3,programmer!$F$3:$F$888889,"&lt;=" &amp;Réalisés!$E$4)*24</f>
        <v>0</v>
      </c>
      <c r="I19" s="110">
        <f ca="1">SUMIFS(programmer!$H$3:$H$888889,programmer!$E$3:$E$888889,Réalisés!$A19,programmer!$I$3:$I$888889,"Prog",programmer!$F$3:$F$888889,"&lt;"&amp;J$3,programmer!$F$3:$F$888889,"&gt;="&amp;I$3,programmer!$F$3:$F$888889,"&lt;=" &amp;Réalisés!$E$4)*24</f>
        <v>0</v>
      </c>
      <c r="J19" s="110">
        <f ca="1">SUMIFS(programmer!$H$3:$H$888889,programmer!$E$3:$E$888889,Réalisés!$A19,programmer!$I$3:$I$888889,"Prog",programmer!$F$3:$F$888889,"&lt;"&amp;K$3,programmer!$F$3:$F$888889,"&gt;="&amp;J$3,programmer!$F$3:$F$888889,"&lt;=" &amp;Réalisés!$E$4)*24</f>
        <v>0</v>
      </c>
      <c r="K19" s="110">
        <f ca="1">SUMIFS(programmer!$H$3:$H$888889,programmer!$E$3:$E$888889,Réalisés!$A19,programmer!$I$3:$I$888889,"Prog",programmer!$F$3:$F$888889,"&lt;"&amp;L$3,programmer!$F$3:$F$888889,"&gt;="&amp;K$3,programmer!$F$3:$F$888889,"&lt;=" &amp;Réalisés!$E$4)*24</f>
        <v>0</v>
      </c>
      <c r="L19" s="110">
        <f ca="1">SUMIFS(programmer!$H$3:$H$888889,programmer!$E$3:$E$888889,Réalisés!$A19,programmer!$I$3:$I$888889,"Prog",programmer!$F$3:$F$888889,"&lt;"&amp;M$3,programmer!$F$3:$F$888889,"&gt;="&amp;L$3,programmer!$F$3:$F$888889,"&lt;=" &amp;Réalisés!$E$4)*24</f>
        <v>0</v>
      </c>
      <c r="M19" s="110">
        <f ca="1">SUMIFS(programmer!$H$3:$H$888889,programmer!$E$3:$E$888889,Réalisés!$A19,programmer!$I$3:$I$888889,"Prog",programmer!$F$3:$F$888889,"&lt;"&amp;N$3,programmer!$F$3:$F$888889,"&gt;="&amp;M$3,programmer!$F$3:$F$888889,"&lt;=" &amp;Réalisés!$E$4)*24</f>
        <v>0</v>
      </c>
      <c r="N19" s="110">
        <f ca="1">SUMIFS(programmer!$H$3:$H$888889,programmer!$E$3:$E$888889,Réalisés!$A19,programmer!$I$3:$I$888889,"Prog",programmer!$F$3:$F$888889,"&lt;"&amp;O$3,programmer!$F$3:$F$888889,"&gt;="&amp;N$3,programmer!$F$3:$F$888889,"&lt;=" &amp;Réalisés!$E$4)*24</f>
        <v>0</v>
      </c>
      <c r="O19" s="110">
        <f ca="1">SUMIFS(programmer!$H$3:$H$888889,programmer!$E$3:$E$888889,Réalisés!$A19,programmer!$I$3:$I$888889,"Prog",programmer!$F$3:$F$888889,"&lt;"&amp;P$3,programmer!$F$3:$F$888889,"&gt;="&amp;O$3,programmer!$F$3:$F$888889,"&lt;=" &amp;Réalisés!$E$4)*24</f>
        <v>0</v>
      </c>
      <c r="P19" s="110">
        <f ca="1">SUMIFS(programmer!$H$3:$H$888889,programmer!$E$3:$E$888889,Réalisés!$A19,programmer!$I$3:$I$888889,"Prog",programmer!$F$3:$F$888889,"&lt;"&amp;Q$3,programmer!$F$3:$F$888889,"&gt;="&amp;P$3,programmer!$F$3:$F$888889,"&lt;=" &amp;Réalisés!$E$4)*24</f>
        <v>0</v>
      </c>
      <c r="Q19" s="110">
        <f ca="1">SUMIFS(programmer!$H$3:$H$888889,programmer!$E$3:$E$888889,Réalisés!$A19,programmer!$I$3:$I$888889,"Prog",programmer!$F$3:$F$888889,"&lt;"&amp;R$3,programmer!$F$3:$F$888889,"&gt;="&amp;Q$3,programmer!$F$3:$F$888889,"&lt;=" &amp;Réalisés!$E$4)*24</f>
        <v>0</v>
      </c>
      <c r="R19" s="110">
        <f ca="1">SUMIFS(programmer!$H$3:$H$888889,programmer!$E$3:$E$888889,Réalisés!$A19,programmer!$I$3:$I$888889,"Prog",programmer!$F$3:$F$888889,"&lt;"&amp;S$3,programmer!$F$3:$F$888889,"&gt;="&amp;R$3,programmer!$F$3:$F$888889,"&lt;=" &amp;Réalisés!$E$4)*24</f>
        <v>0</v>
      </c>
      <c r="S19" s="110">
        <f ca="1">SUMIFS(programmer!$H$3:$H$888889,programmer!$E$3:$E$888889,Réalisés!$A19,programmer!$I$3:$I$888889,"Prog",programmer!$F$3:$F$888889,"&lt;"&amp;T$3,programmer!$F$3:$F$888889,"&gt;="&amp;S$3,programmer!$F$3:$F$888889,"&lt;=" &amp;Réalisés!$E$4)*24</f>
        <v>0</v>
      </c>
    </row>
    <row r="20" spans="1:19" hidden="1" x14ac:dyDescent="0.25">
      <c r="A20" s="119" t="s">
        <v>219</v>
      </c>
      <c r="B20" s="110"/>
      <c r="C20" s="110">
        <v>100</v>
      </c>
      <c r="D20" s="112">
        <v>100</v>
      </c>
      <c r="E20" s="112">
        <f ca="1">SUMIFS(programmer!$H$3:$H$888889,programmer!$E$3:$E$888889,Réalisés!$A20,programmer!$I$3:$I$888889,"Prog",programmer!$F$3:$F$888889,"&lt;=" &amp;Réalisés!$E$4,programmer!$B$3:$B$888889,"Activités")*24*2</f>
        <v>0</v>
      </c>
      <c r="F20" s="133">
        <f t="shared" ca="1" si="1"/>
        <v>100</v>
      </c>
      <c r="G20" s="113">
        <f t="shared" ca="1" si="2"/>
        <v>1</v>
      </c>
    </row>
  </sheetData>
  <mergeCells count="16">
    <mergeCell ref="B4:C4"/>
    <mergeCell ref="E4:G4"/>
    <mergeCell ref="B5:D5"/>
    <mergeCell ref="E5:G5"/>
    <mergeCell ref="N3:N5"/>
    <mergeCell ref="H3:H5"/>
    <mergeCell ref="I3:I5"/>
    <mergeCell ref="J3:J5"/>
    <mergeCell ref="K3:K5"/>
    <mergeCell ref="L3:L5"/>
    <mergeCell ref="M3:M5"/>
    <mergeCell ref="O3:O5"/>
    <mergeCell ref="P3:P5"/>
    <mergeCell ref="Q3:Q5"/>
    <mergeCell ref="R3:R5"/>
    <mergeCell ref="S3:S5"/>
  </mergeCells>
  <conditionalFormatting sqref="G7:G2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{5D921A2B-99B7-429A-ADBE-D3E1F118F240}</x14:id>
        </ext>
      </extLst>
    </cfRule>
  </conditionalFormatting>
  <pageMargins left="0.25" right="0.25" top="0.75" bottom="0.75" header="0.3" footer="0.3"/>
  <pageSetup paperSize="9" orientation="landscape" horizontalDpi="4294967294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921A2B-99B7-429A-ADBE-D3E1F118F2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G7:G20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33CC"/>
  </sheetPr>
  <dimension ref="A3:AK35"/>
  <sheetViews>
    <sheetView topLeftCell="L12" zoomScale="130" zoomScaleNormal="130" workbookViewId="0">
      <selection activeCell="L33" sqref="L33"/>
    </sheetView>
  </sheetViews>
  <sheetFormatPr defaultColWidth="11.42578125" defaultRowHeight="15" x14ac:dyDescent="0.25"/>
  <cols>
    <col min="1" max="1" width="17.85546875" customWidth="1"/>
    <col min="2" max="2" width="20.5703125" customWidth="1"/>
    <col min="3" max="3" width="27" customWidth="1"/>
    <col min="4" max="4" width="8" bestFit="1" customWidth="1"/>
    <col min="6" max="6" width="28.5703125" bestFit="1" customWidth="1"/>
    <col min="7" max="7" width="10.42578125" bestFit="1" customWidth="1"/>
    <col min="8" max="8" width="9.140625" bestFit="1" customWidth="1"/>
    <col min="10" max="10" width="19.28515625" bestFit="1" customWidth="1"/>
    <col min="11" max="13" width="19.28515625" customWidth="1"/>
    <col min="15" max="15" width="20" bestFit="1" customWidth="1"/>
    <col min="19" max="19" width="20.85546875" customWidth="1"/>
    <col min="20" max="20" width="3" bestFit="1" customWidth="1"/>
    <col min="24" max="24" width="19" customWidth="1"/>
    <col min="25" max="25" width="3" bestFit="1" customWidth="1"/>
    <col min="26" max="26" width="15.42578125" customWidth="1"/>
    <col min="29" max="29" width="19.28515625" bestFit="1" customWidth="1"/>
    <col min="30" max="30" width="3" bestFit="1" customWidth="1"/>
    <col min="31" max="31" width="55.85546875" bestFit="1" customWidth="1"/>
    <col min="32" max="32" width="5.140625" customWidth="1"/>
  </cols>
  <sheetData>
    <row r="3" spans="1:37" x14ac:dyDescent="0.25">
      <c r="A3" s="35" t="s">
        <v>61</v>
      </c>
      <c r="B3" s="35" t="s">
        <v>60</v>
      </c>
      <c r="C3" s="35" t="s">
        <v>3</v>
      </c>
      <c r="D3" s="35" t="s">
        <v>38</v>
      </c>
      <c r="F3" s="37" t="s">
        <v>40</v>
      </c>
      <c r="G3" s="37" t="s">
        <v>41</v>
      </c>
      <c r="H3" s="37" t="s">
        <v>42</v>
      </c>
      <c r="I3" s="37" t="s">
        <v>38</v>
      </c>
      <c r="J3" s="37" t="s">
        <v>81</v>
      </c>
      <c r="K3" s="38"/>
      <c r="L3" s="40" t="s">
        <v>84</v>
      </c>
      <c r="M3" s="37" t="s">
        <v>208</v>
      </c>
      <c r="O3" s="37" t="s">
        <v>61</v>
      </c>
      <c r="P3" s="13" t="s">
        <v>63</v>
      </c>
      <c r="Q3" s="13" t="s">
        <v>64</v>
      </c>
      <c r="S3" s="146" t="s">
        <v>44</v>
      </c>
      <c r="T3" s="89">
        <v>1</v>
      </c>
      <c r="U3" s="104" t="s">
        <v>131</v>
      </c>
      <c r="V3" s="90">
        <v>30</v>
      </c>
      <c r="W3" s="102"/>
      <c r="X3" s="17" t="s">
        <v>43</v>
      </c>
      <c r="Y3" s="146">
        <v>1</v>
      </c>
      <c r="Z3" s="146" t="s">
        <v>111</v>
      </c>
      <c r="AA3" s="147">
        <v>30</v>
      </c>
      <c r="AB3" s="102"/>
      <c r="AC3" s="17" t="s">
        <v>83</v>
      </c>
      <c r="AD3" s="17">
        <v>1</v>
      </c>
      <c r="AE3" s="17" t="s">
        <v>176</v>
      </c>
      <c r="AF3" s="17">
        <v>30</v>
      </c>
      <c r="AH3" s="5" t="s">
        <v>90</v>
      </c>
      <c r="AI3" s="5"/>
      <c r="AJ3" s="5"/>
      <c r="AK3" s="5"/>
    </row>
    <row r="4" spans="1:37" x14ac:dyDescent="0.25">
      <c r="A4" s="5" t="s">
        <v>68</v>
      </c>
      <c r="B4" s="5" t="s">
        <v>211</v>
      </c>
      <c r="C4" s="8" t="s">
        <v>212</v>
      </c>
      <c r="D4" s="98"/>
      <c r="F4" s="5" t="s">
        <v>173</v>
      </c>
      <c r="G4" s="5" t="s">
        <v>175</v>
      </c>
      <c r="H4" s="5" t="s">
        <v>190</v>
      </c>
      <c r="I4" s="36"/>
      <c r="J4" s="17"/>
      <c r="K4" s="38"/>
      <c r="L4" s="152" t="s">
        <v>82</v>
      </c>
      <c r="M4" s="17"/>
      <c r="O4" s="5" t="s">
        <v>65</v>
      </c>
      <c r="P4" s="5"/>
      <c r="Q4" s="31">
        <v>438</v>
      </c>
      <c r="S4" s="146" t="s">
        <v>44</v>
      </c>
      <c r="T4" s="89">
        <v>2</v>
      </c>
      <c r="U4" s="104" t="s">
        <v>132</v>
      </c>
      <c r="V4" s="90">
        <v>30</v>
      </c>
      <c r="W4" s="102"/>
      <c r="X4" s="17" t="s">
        <v>43</v>
      </c>
      <c r="Y4" s="146">
        <v>2</v>
      </c>
      <c r="Z4" s="146" t="s">
        <v>100</v>
      </c>
      <c r="AA4" s="147">
        <v>30</v>
      </c>
      <c r="AB4" s="102"/>
      <c r="AC4" s="17" t="s">
        <v>83</v>
      </c>
      <c r="AD4" s="17">
        <v>2</v>
      </c>
      <c r="AE4" s="17" t="s">
        <v>177</v>
      </c>
      <c r="AF4" s="17">
        <v>60</v>
      </c>
      <c r="AH4" s="5" t="s">
        <v>90</v>
      </c>
      <c r="AI4" s="5"/>
      <c r="AJ4" s="5"/>
      <c r="AK4" s="5"/>
    </row>
    <row r="5" spans="1:37" x14ac:dyDescent="0.25">
      <c r="A5" s="136" t="s">
        <v>80</v>
      </c>
      <c r="B5" s="136" t="s">
        <v>62</v>
      </c>
      <c r="C5" s="136" t="s">
        <v>50</v>
      </c>
      <c r="D5" s="16"/>
      <c r="F5" s="5" t="s">
        <v>174</v>
      </c>
      <c r="G5" s="5" t="s">
        <v>175</v>
      </c>
      <c r="H5" s="5" t="s">
        <v>191</v>
      </c>
      <c r="I5" s="9"/>
      <c r="J5" s="17"/>
      <c r="K5" s="38"/>
      <c r="L5" s="17" t="s">
        <v>83</v>
      </c>
      <c r="M5" s="17" t="s">
        <v>194</v>
      </c>
      <c r="O5" s="5" t="s">
        <v>66</v>
      </c>
      <c r="P5" s="5"/>
      <c r="Q5" s="31">
        <v>438</v>
      </c>
      <c r="S5" s="146" t="s">
        <v>44</v>
      </c>
      <c r="T5" s="89">
        <v>3</v>
      </c>
      <c r="U5" s="104" t="s">
        <v>133</v>
      </c>
      <c r="V5" s="90">
        <v>30</v>
      </c>
      <c r="W5" s="102"/>
      <c r="X5" s="17" t="s">
        <v>43</v>
      </c>
      <c r="Y5" s="146">
        <v>3</v>
      </c>
      <c r="Z5" s="146" t="s">
        <v>112</v>
      </c>
      <c r="AA5" s="147">
        <v>45</v>
      </c>
      <c r="AB5" s="102"/>
      <c r="AC5" s="17" t="s">
        <v>83</v>
      </c>
      <c r="AD5" s="17">
        <v>3</v>
      </c>
      <c r="AE5" s="17" t="s">
        <v>101</v>
      </c>
      <c r="AF5" s="17">
        <v>60</v>
      </c>
      <c r="AH5" s="5" t="s">
        <v>90</v>
      </c>
      <c r="AI5" s="5"/>
      <c r="AJ5" s="5"/>
      <c r="AK5" s="5"/>
    </row>
    <row r="6" spans="1:37" x14ac:dyDescent="0.25">
      <c r="F6" s="5" t="s">
        <v>130</v>
      </c>
      <c r="G6" s="5">
        <v>2019</v>
      </c>
      <c r="H6" s="5" t="s">
        <v>187</v>
      </c>
      <c r="I6" s="12"/>
      <c r="J6" s="5" t="s">
        <v>43</v>
      </c>
      <c r="K6" s="39"/>
      <c r="L6" s="17" t="s">
        <v>43</v>
      </c>
      <c r="M6" s="17" t="s">
        <v>193</v>
      </c>
      <c r="O6" s="5" t="s">
        <v>67</v>
      </c>
      <c r="P6" s="5"/>
      <c r="Q6" s="31">
        <v>521</v>
      </c>
      <c r="S6" s="146" t="s">
        <v>44</v>
      </c>
      <c r="T6" s="89">
        <v>4</v>
      </c>
      <c r="U6" s="104" t="s">
        <v>134</v>
      </c>
      <c r="V6" s="90">
        <v>45</v>
      </c>
      <c r="W6" s="102"/>
      <c r="X6" s="17" t="s">
        <v>43</v>
      </c>
      <c r="Y6" s="146">
        <v>4</v>
      </c>
      <c r="Z6" s="146" t="s">
        <v>113</v>
      </c>
      <c r="AA6" s="147">
        <v>60</v>
      </c>
      <c r="AB6" s="102"/>
      <c r="AC6" s="17" t="s">
        <v>83</v>
      </c>
      <c r="AD6" s="17">
        <v>4</v>
      </c>
      <c r="AE6" s="17" t="s">
        <v>102</v>
      </c>
      <c r="AF6" s="17">
        <v>30</v>
      </c>
      <c r="AH6" s="5" t="s">
        <v>90</v>
      </c>
      <c r="AI6" s="5"/>
      <c r="AJ6" s="5"/>
      <c r="AK6" s="5"/>
    </row>
    <row r="7" spans="1:37" x14ac:dyDescent="0.25">
      <c r="F7" s="5" t="s">
        <v>44</v>
      </c>
      <c r="G7" s="5">
        <v>2019</v>
      </c>
      <c r="H7" s="5" t="s">
        <v>188</v>
      </c>
      <c r="I7" s="11"/>
      <c r="J7" s="5" t="s">
        <v>44</v>
      </c>
      <c r="K7" s="39"/>
      <c r="L7" s="5" t="s">
        <v>44</v>
      </c>
      <c r="M7" s="5" t="s">
        <v>192</v>
      </c>
      <c r="O7" s="5" t="s">
        <v>68</v>
      </c>
      <c r="P7" s="5"/>
      <c r="Q7" s="31">
        <v>521</v>
      </c>
      <c r="S7" s="146" t="s">
        <v>44</v>
      </c>
      <c r="T7" s="89">
        <v>5</v>
      </c>
      <c r="U7" s="104" t="s">
        <v>135</v>
      </c>
      <c r="V7" s="90">
        <v>75</v>
      </c>
      <c r="W7" s="102"/>
      <c r="X7" s="17" t="s">
        <v>43</v>
      </c>
      <c r="Y7" s="146">
        <v>5</v>
      </c>
      <c r="Z7" s="146" t="s">
        <v>114</v>
      </c>
      <c r="AA7" s="147">
        <v>30</v>
      </c>
      <c r="AB7" s="102"/>
      <c r="AC7" s="17" t="s">
        <v>83</v>
      </c>
      <c r="AD7" s="17">
        <v>5</v>
      </c>
      <c r="AE7" s="17" t="s">
        <v>54</v>
      </c>
      <c r="AF7" s="17">
        <v>60</v>
      </c>
      <c r="AH7" s="5" t="s">
        <v>90</v>
      </c>
      <c r="AI7" s="5"/>
      <c r="AJ7" s="5"/>
      <c r="AK7" s="5"/>
    </row>
    <row r="8" spans="1:37" x14ac:dyDescent="0.25">
      <c r="F8" s="17" t="s">
        <v>45</v>
      </c>
      <c r="G8" s="17" t="s">
        <v>46</v>
      </c>
      <c r="H8" s="17" t="s">
        <v>189</v>
      </c>
      <c r="I8" s="10"/>
      <c r="J8" s="17" t="s">
        <v>83</v>
      </c>
      <c r="K8" s="38"/>
      <c r="L8" s="136" t="s">
        <v>90</v>
      </c>
      <c r="M8" s="136" t="s">
        <v>196</v>
      </c>
      <c r="O8" s="5" t="s">
        <v>69</v>
      </c>
      <c r="P8" s="5"/>
      <c r="Q8" s="31">
        <v>560</v>
      </c>
      <c r="S8" s="146" t="s">
        <v>44</v>
      </c>
      <c r="T8" s="89">
        <v>6</v>
      </c>
      <c r="U8" s="104" t="s">
        <v>136</v>
      </c>
      <c r="V8" s="90">
        <v>30</v>
      </c>
      <c r="W8" s="102"/>
      <c r="X8" s="17" t="s">
        <v>43</v>
      </c>
      <c r="Y8" s="146">
        <v>6</v>
      </c>
      <c r="Z8" s="146" t="s">
        <v>115</v>
      </c>
      <c r="AA8" s="147">
        <v>45</v>
      </c>
      <c r="AB8" s="102"/>
      <c r="AC8" s="17" t="s">
        <v>83</v>
      </c>
      <c r="AD8" s="17">
        <v>6</v>
      </c>
      <c r="AE8" s="17" t="s">
        <v>178</v>
      </c>
      <c r="AF8" s="17">
        <v>45</v>
      </c>
      <c r="AH8" s="5" t="s">
        <v>90</v>
      </c>
      <c r="AI8" s="5"/>
      <c r="AJ8" s="5"/>
      <c r="AK8" s="5"/>
    </row>
    <row r="9" spans="1:37" x14ac:dyDescent="0.25">
      <c r="F9" s="136" t="s">
        <v>90</v>
      </c>
      <c r="G9" s="136">
        <v>2021</v>
      </c>
      <c r="H9" s="136" t="s">
        <v>172</v>
      </c>
      <c r="I9" s="159"/>
      <c r="J9" s="136" t="s">
        <v>90</v>
      </c>
      <c r="L9" s="38"/>
      <c r="M9" s="38"/>
      <c r="O9" s="5" t="s">
        <v>70</v>
      </c>
      <c r="P9" s="5"/>
      <c r="Q9" s="31">
        <v>560</v>
      </c>
      <c r="S9" s="146" t="s">
        <v>44</v>
      </c>
      <c r="T9" s="89">
        <v>7</v>
      </c>
      <c r="U9" s="104" t="s">
        <v>137</v>
      </c>
      <c r="V9" s="90">
        <v>30</v>
      </c>
      <c r="W9" s="102"/>
      <c r="X9" s="17" t="s">
        <v>43</v>
      </c>
      <c r="Y9" s="146">
        <v>7</v>
      </c>
      <c r="Z9" s="146" t="s">
        <v>116</v>
      </c>
      <c r="AA9" s="147">
        <v>120</v>
      </c>
      <c r="AB9" s="102"/>
      <c r="AC9" s="17" t="s">
        <v>83</v>
      </c>
      <c r="AD9" s="17">
        <v>7</v>
      </c>
      <c r="AE9" s="17" t="s">
        <v>179</v>
      </c>
      <c r="AF9" s="17">
        <v>60</v>
      </c>
      <c r="AH9" s="5" t="s">
        <v>90</v>
      </c>
      <c r="AI9" s="5"/>
      <c r="AJ9" s="5"/>
      <c r="AK9" s="5"/>
    </row>
    <row r="10" spans="1:37" x14ac:dyDescent="0.25">
      <c r="O10" s="5" t="s">
        <v>71</v>
      </c>
      <c r="P10" s="5"/>
      <c r="Q10" s="31">
        <v>560</v>
      </c>
      <c r="S10" s="146" t="s">
        <v>44</v>
      </c>
      <c r="T10" s="89">
        <v>8</v>
      </c>
      <c r="U10" s="104" t="s">
        <v>138</v>
      </c>
      <c r="V10" s="90">
        <v>75</v>
      </c>
      <c r="W10" s="102"/>
      <c r="X10" s="17" t="s">
        <v>43</v>
      </c>
      <c r="Y10" s="146">
        <v>8</v>
      </c>
      <c r="Z10" s="146" t="s">
        <v>117</v>
      </c>
      <c r="AA10" s="147">
        <v>60</v>
      </c>
      <c r="AB10" s="102"/>
      <c r="AC10" s="17" t="s">
        <v>83</v>
      </c>
      <c r="AD10" s="17">
        <v>8</v>
      </c>
      <c r="AE10" s="17" t="s">
        <v>180</v>
      </c>
      <c r="AF10" s="17">
        <v>45</v>
      </c>
      <c r="AH10" s="5" t="s">
        <v>90</v>
      </c>
      <c r="AI10" s="5"/>
      <c r="AJ10" s="5"/>
      <c r="AK10" s="5"/>
    </row>
    <row r="11" spans="1:37" x14ac:dyDescent="0.25">
      <c r="O11" s="5" t="s">
        <v>72</v>
      </c>
      <c r="P11" s="5"/>
      <c r="Q11" s="31">
        <v>560</v>
      </c>
      <c r="S11" s="146" t="s">
        <v>44</v>
      </c>
      <c r="T11" s="89">
        <v>9</v>
      </c>
      <c r="U11" s="105" t="s">
        <v>139</v>
      </c>
      <c r="V11" s="90">
        <v>60</v>
      </c>
      <c r="W11" s="102"/>
      <c r="X11" s="17" t="s">
        <v>43</v>
      </c>
      <c r="Y11" s="146">
        <v>9</v>
      </c>
      <c r="Z11" s="146" t="s">
        <v>118</v>
      </c>
      <c r="AA11" s="147">
        <v>45</v>
      </c>
      <c r="AB11" s="102"/>
      <c r="AC11" s="17" t="s">
        <v>83</v>
      </c>
      <c r="AD11" s="17">
        <v>9</v>
      </c>
      <c r="AE11" s="17" t="s">
        <v>97</v>
      </c>
      <c r="AF11" s="17">
        <v>30</v>
      </c>
      <c r="AH11" s="5" t="s">
        <v>90</v>
      </c>
      <c r="AI11" s="5"/>
      <c r="AJ11" s="5"/>
      <c r="AK11" s="5"/>
    </row>
    <row r="12" spans="1:37" x14ac:dyDescent="0.25">
      <c r="O12" s="5" t="s">
        <v>73</v>
      </c>
      <c r="P12" s="5"/>
      <c r="Q12" s="31">
        <v>672</v>
      </c>
      <c r="S12" s="146" t="s">
        <v>44</v>
      </c>
      <c r="T12" s="89">
        <v>10</v>
      </c>
      <c r="U12" s="105" t="s">
        <v>140</v>
      </c>
      <c r="V12" s="90">
        <v>105</v>
      </c>
      <c r="W12" s="102"/>
      <c r="X12" s="17" t="s">
        <v>43</v>
      </c>
      <c r="Y12" s="146">
        <v>10</v>
      </c>
      <c r="Z12" s="146" t="s">
        <v>119</v>
      </c>
      <c r="AA12" s="147">
        <v>15</v>
      </c>
      <c r="AB12" s="102"/>
      <c r="AC12" s="17" t="s">
        <v>83</v>
      </c>
      <c r="AD12" s="17">
        <v>10</v>
      </c>
      <c r="AE12" s="17" t="s">
        <v>98</v>
      </c>
      <c r="AF12" s="17">
        <v>150</v>
      </c>
      <c r="AH12" s="5" t="s">
        <v>90</v>
      </c>
      <c r="AI12" s="5"/>
      <c r="AJ12" s="5"/>
      <c r="AK12" s="5"/>
    </row>
    <row r="13" spans="1:37" x14ac:dyDescent="0.25">
      <c r="O13" s="5" t="s">
        <v>74</v>
      </c>
      <c r="P13" s="5"/>
      <c r="Q13" s="31">
        <v>672</v>
      </c>
      <c r="S13" s="146" t="s">
        <v>44</v>
      </c>
      <c r="T13" s="89">
        <v>11</v>
      </c>
      <c r="U13" s="104" t="s">
        <v>141</v>
      </c>
      <c r="V13" s="89">
        <v>15</v>
      </c>
      <c r="W13" s="102"/>
      <c r="X13" s="17" t="s">
        <v>43</v>
      </c>
      <c r="Y13" s="146">
        <v>11</v>
      </c>
      <c r="Z13" s="146" t="s">
        <v>120</v>
      </c>
      <c r="AA13" s="147">
        <v>45</v>
      </c>
      <c r="AB13" s="102"/>
      <c r="AC13" s="17" t="s">
        <v>83</v>
      </c>
      <c r="AD13" s="17">
        <v>11</v>
      </c>
      <c r="AE13" s="17" t="s">
        <v>99</v>
      </c>
      <c r="AF13" s="17">
        <v>30</v>
      </c>
      <c r="AH13" s="5" t="s">
        <v>90</v>
      </c>
      <c r="AI13" s="5"/>
      <c r="AJ13" s="5"/>
      <c r="AK13" s="5"/>
    </row>
    <row r="14" spans="1:37" x14ac:dyDescent="0.25">
      <c r="O14" s="5" t="s">
        <v>78</v>
      </c>
      <c r="P14" s="5"/>
      <c r="Q14" s="31">
        <v>672</v>
      </c>
      <c r="S14" s="146" t="s">
        <v>44</v>
      </c>
      <c r="T14" s="89">
        <v>12</v>
      </c>
      <c r="U14" s="104" t="s">
        <v>142</v>
      </c>
      <c r="V14" s="89">
        <v>160</v>
      </c>
      <c r="W14" s="102"/>
      <c r="X14" s="17" t="s">
        <v>43</v>
      </c>
      <c r="Y14" s="146">
        <v>12</v>
      </c>
      <c r="Z14" s="146" t="s">
        <v>121</v>
      </c>
      <c r="AA14" s="147">
        <v>45</v>
      </c>
      <c r="AB14" s="102"/>
      <c r="AC14" s="17" t="s">
        <v>83</v>
      </c>
      <c r="AD14" s="17">
        <v>12</v>
      </c>
      <c r="AE14" s="17" t="s">
        <v>103</v>
      </c>
      <c r="AF14" s="17">
        <v>120</v>
      </c>
      <c r="AH14" s="5" t="s">
        <v>90</v>
      </c>
      <c r="AI14" s="5"/>
      <c r="AJ14" s="5"/>
      <c r="AK14" s="5"/>
    </row>
    <row r="15" spans="1:37" x14ac:dyDescent="0.25">
      <c r="O15" s="5" t="s">
        <v>75</v>
      </c>
      <c r="P15" s="5"/>
      <c r="Q15" s="31">
        <v>745</v>
      </c>
      <c r="S15" s="146" t="s">
        <v>44</v>
      </c>
      <c r="T15" s="89">
        <v>13</v>
      </c>
      <c r="U15" s="104" t="s">
        <v>143</v>
      </c>
      <c r="V15" s="89">
        <v>75</v>
      </c>
      <c r="W15" s="102"/>
      <c r="X15" s="17" t="s">
        <v>43</v>
      </c>
      <c r="Y15" s="146">
        <v>13</v>
      </c>
      <c r="Z15" s="146" t="s">
        <v>122</v>
      </c>
      <c r="AA15" s="147">
        <v>30</v>
      </c>
      <c r="AB15" s="102"/>
      <c r="AC15" s="17" t="s">
        <v>83</v>
      </c>
      <c r="AD15" s="17">
        <v>13</v>
      </c>
      <c r="AE15" s="17" t="s">
        <v>100</v>
      </c>
      <c r="AF15" s="17">
        <v>30</v>
      </c>
      <c r="AH15" s="5" t="s">
        <v>90</v>
      </c>
      <c r="AI15" s="5"/>
      <c r="AJ15" s="5"/>
      <c r="AK15" s="5"/>
    </row>
    <row r="16" spans="1:37" x14ac:dyDescent="0.25">
      <c r="O16" s="5" t="s">
        <v>76</v>
      </c>
      <c r="P16" s="5"/>
      <c r="Q16" s="31">
        <v>745</v>
      </c>
      <c r="S16" s="146" t="s">
        <v>44</v>
      </c>
      <c r="T16" s="89">
        <v>14</v>
      </c>
      <c r="U16" s="104" t="s">
        <v>144</v>
      </c>
      <c r="V16" s="89">
        <v>75</v>
      </c>
      <c r="W16" s="102"/>
      <c r="X16" s="17" t="s">
        <v>43</v>
      </c>
      <c r="Y16" s="146">
        <v>14</v>
      </c>
      <c r="Z16" s="146" t="s">
        <v>54</v>
      </c>
      <c r="AA16" s="147">
        <v>45</v>
      </c>
      <c r="AB16" s="102"/>
      <c r="AC16" s="17" t="s">
        <v>83</v>
      </c>
      <c r="AD16" s="17">
        <v>14</v>
      </c>
      <c r="AE16" s="17" t="s">
        <v>181</v>
      </c>
      <c r="AF16" s="17">
        <v>160</v>
      </c>
      <c r="AH16" s="5" t="s">
        <v>90</v>
      </c>
      <c r="AI16" s="5"/>
      <c r="AJ16" s="5"/>
      <c r="AK16" s="5"/>
    </row>
    <row r="17" spans="15:37" x14ac:dyDescent="0.25">
      <c r="O17" s="5" t="s">
        <v>77</v>
      </c>
      <c r="P17" s="5"/>
      <c r="Q17" s="31">
        <v>748</v>
      </c>
      <c r="S17" s="146" t="s">
        <v>44</v>
      </c>
      <c r="T17" s="89">
        <v>15</v>
      </c>
      <c r="U17" s="104" t="s">
        <v>145</v>
      </c>
      <c r="V17" s="89">
        <v>30</v>
      </c>
      <c r="W17" s="102"/>
      <c r="X17" s="17" t="s">
        <v>43</v>
      </c>
      <c r="Y17" s="146">
        <v>15</v>
      </c>
      <c r="Z17" s="146" t="s">
        <v>123</v>
      </c>
      <c r="AA17" s="147">
        <v>30</v>
      </c>
      <c r="AB17" s="102"/>
      <c r="AC17" s="17" t="s">
        <v>83</v>
      </c>
      <c r="AD17" s="17">
        <v>15</v>
      </c>
      <c r="AE17" s="17" t="s">
        <v>104</v>
      </c>
      <c r="AF17" s="17">
        <v>75</v>
      </c>
      <c r="AH17" s="5" t="s">
        <v>90</v>
      </c>
      <c r="AI17" s="5"/>
      <c r="AJ17" s="5"/>
      <c r="AK17" s="5"/>
    </row>
    <row r="18" spans="15:37" x14ac:dyDescent="0.25">
      <c r="O18" s="17" t="s">
        <v>79</v>
      </c>
      <c r="P18" s="5"/>
      <c r="Q18" s="33">
        <v>521</v>
      </c>
      <c r="S18" s="146" t="s">
        <v>44</v>
      </c>
      <c r="T18" s="89">
        <v>16</v>
      </c>
      <c r="U18" s="104" t="s">
        <v>146</v>
      </c>
      <c r="V18" s="89">
        <v>120</v>
      </c>
      <c r="W18" s="102"/>
      <c r="X18" s="17" t="s">
        <v>43</v>
      </c>
      <c r="Y18" s="146">
        <v>16</v>
      </c>
      <c r="Z18" s="146" t="s">
        <v>124</v>
      </c>
      <c r="AA18" s="147">
        <v>60</v>
      </c>
      <c r="AB18" s="102"/>
      <c r="AC18" s="17" t="s">
        <v>83</v>
      </c>
      <c r="AD18" s="17">
        <v>16</v>
      </c>
      <c r="AE18" s="17" t="s">
        <v>105</v>
      </c>
      <c r="AF18" s="17">
        <v>45</v>
      </c>
      <c r="AH18" s="5" t="s">
        <v>90</v>
      </c>
      <c r="AI18" s="5"/>
      <c r="AJ18" s="5"/>
      <c r="AK18" s="5"/>
    </row>
    <row r="19" spans="15:37" x14ac:dyDescent="0.25">
      <c r="O19" s="17" t="s">
        <v>80</v>
      </c>
      <c r="P19" s="5"/>
      <c r="Q19" s="33">
        <v>1000</v>
      </c>
      <c r="S19" s="146" t="s">
        <v>44</v>
      </c>
      <c r="T19" s="89">
        <v>17</v>
      </c>
      <c r="U19" s="104" t="s">
        <v>147</v>
      </c>
      <c r="V19" s="89">
        <v>15</v>
      </c>
      <c r="W19" s="102"/>
      <c r="X19" s="17" t="s">
        <v>43</v>
      </c>
      <c r="Y19" s="146">
        <v>17</v>
      </c>
      <c r="Z19" s="146" t="s">
        <v>125</v>
      </c>
      <c r="AA19" s="147">
        <v>60</v>
      </c>
      <c r="AB19" s="102"/>
      <c r="AC19" s="17" t="s">
        <v>83</v>
      </c>
      <c r="AD19" s="17">
        <v>17</v>
      </c>
      <c r="AE19" s="17" t="s">
        <v>55</v>
      </c>
      <c r="AF19" s="17">
        <v>60</v>
      </c>
      <c r="AH19" s="5" t="s">
        <v>90</v>
      </c>
      <c r="AI19" s="5"/>
      <c r="AJ19" s="5"/>
      <c r="AK19" s="5"/>
    </row>
    <row r="20" spans="15:37" x14ac:dyDescent="0.25">
      <c r="S20" s="146" t="s">
        <v>44</v>
      </c>
      <c r="T20" s="89">
        <v>18</v>
      </c>
      <c r="U20" s="104" t="s">
        <v>148</v>
      </c>
      <c r="V20" s="89">
        <v>200</v>
      </c>
      <c r="W20" s="102"/>
      <c r="X20" s="17" t="s">
        <v>43</v>
      </c>
      <c r="Y20" s="146">
        <v>18</v>
      </c>
      <c r="Z20" s="146" t="s">
        <v>126</v>
      </c>
      <c r="AA20" s="147">
        <v>15</v>
      </c>
      <c r="AB20" s="102"/>
      <c r="AC20" s="17" t="s">
        <v>83</v>
      </c>
      <c r="AD20" s="17">
        <v>18</v>
      </c>
      <c r="AE20" s="17" t="s">
        <v>56</v>
      </c>
      <c r="AF20" s="17">
        <v>90</v>
      </c>
      <c r="AH20" s="5" t="s">
        <v>90</v>
      </c>
      <c r="AI20" s="5"/>
      <c r="AJ20" s="5"/>
      <c r="AK20" s="5"/>
    </row>
    <row r="21" spans="15:37" x14ac:dyDescent="0.25">
      <c r="S21" s="146" t="s">
        <v>44</v>
      </c>
      <c r="T21" s="89">
        <v>19</v>
      </c>
      <c r="U21" s="104" t="s">
        <v>57</v>
      </c>
      <c r="V21" s="89">
        <v>30</v>
      </c>
      <c r="W21" s="102"/>
      <c r="X21" s="17" t="s">
        <v>43</v>
      </c>
      <c r="Y21" s="146">
        <v>19</v>
      </c>
      <c r="Z21" s="146" t="s">
        <v>127</v>
      </c>
      <c r="AA21" s="147">
        <v>320</v>
      </c>
      <c r="AB21" s="102"/>
      <c r="AC21" s="17" t="s">
        <v>83</v>
      </c>
      <c r="AD21" s="17">
        <v>19</v>
      </c>
      <c r="AE21" s="17" t="s">
        <v>182</v>
      </c>
      <c r="AF21" s="17">
        <v>90</v>
      </c>
      <c r="AH21" s="5" t="s">
        <v>90</v>
      </c>
      <c r="AI21" s="5"/>
      <c r="AJ21" s="5"/>
      <c r="AK21" s="5"/>
    </row>
    <row r="22" spans="15:37" x14ac:dyDescent="0.25">
      <c r="S22" s="146" t="s">
        <v>44</v>
      </c>
      <c r="T22" s="89">
        <v>20</v>
      </c>
      <c r="U22" s="104" t="s">
        <v>108</v>
      </c>
      <c r="V22" s="89">
        <v>30</v>
      </c>
      <c r="W22" s="102"/>
      <c r="X22" s="17" t="s">
        <v>43</v>
      </c>
      <c r="Y22" s="146">
        <v>20</v>
      </c>
      <c r="Z22" s="146" t="s">
        <v>57</v>
      </c>
      <c r="AA22" s="147">
        <v>30</v>
      </c>
      <c r="AB22" s="102"/>
      <c r="AC22" s="17" t="s">
        <v>83</v>
      </c>
      <c r="AD22" s="17">
        <v>20</v>
      </c>
      <c r="AE22" s="17" t="s">
        <v>106</v>
      </c>
      <c r="AF22" s="17">
        <v>150</v>
      </c>
      <c r="AH22" s="5" t="s">
        <v>90</v>
      </c>
      <c r="AI22" s="5"/>
      <c r="AJ22" s="5"/>
      <c r="AK22" s="5"/>
    </row>
    <row r="23" spans="15:37" x14ac:dyDescent="0.25">
      <c r="S23" s="146" t="s">
        <v>44</v>
      </c>
      <c r="T23" s="89">
        <v>21</v>
      </c>
      <c r="U23" s="104" t="s">
        <v>58</v>
      </c>
      <c r="V23" s="89">
        <v>20</v>
      </c>
      <c r="W23" s="102"/>
      <c r="X23" s="17" t="s">
        <v>43</v>
      </c>
      <c r="Y23" s="146">
        <v>21</v>
      </c>
      <c r="Z23" s="146" t="s">
        <v>108</v>
      </c>
      <c r="AA23" s="147">
        <v>30</v>
      </c>
      <c r="AB23" s="102"/>
      <c r="AC23" s="17" t="s">
        <v>83</v>
      </c>
      <c r="AD23" s="17">
        <v>21</v>
      </c>
      <c r="AE23" s="17" t="s">
        <v>183</v>
      </c>
      <c r="AF23" s="17">
        <v>45</v>
      </c>
      <c r="AH23" s="5" t="s">
        <v>90</v>
      </c>
      <c r="AI23" s="5"/>
      <c r="AJ23" s="5"/>
      <c r="AK23" s="5"/>
    </row>
    <row r="24" spans="15:37" x14ac:dyDescent="0.25">
      <c r="S24" s="146" t="s">
        <v>44</v>
      </c>
      <c r="T24" s="89">
        <v>22</v>
      </c>
      <c r="U24" s="104" t="s">
        <v>109</v>
      </c>
      <c r="V24" s="89">
        <v>10</v>
      </c>
      <c r="W24" s="102"/>
      <c r="X24" s="17" t="s">
        <v>43</v>
      </c>
      <c r="Y24" s="146">
        <v>22</v>
      </c>
      <c r="Z24" s="146" t="s">
        <v>58</v>
      </c>
      <c r="AA24" s="147">
        <v>20</v>
      </c>
      <c r="AB24" s="102"/>
      <c r="AC24" s="17" t="s">
        <v>83</v>
      </c>
      <c r="AD24" s="17">
        <v>22</v>
      </c>
      <c r="AE24" s="17" t="s">
        <v>184</v>
      </c>
      <c r="AF24" s="17">
        <v>45</v>
      </c>
      <c r="AH24" s="5" t="s">
        <v>90</v>
      </c>
      <c r="AI24" s="5"/>
      <c r="AJ24" s="5"/>
      <c r="AK24" s="5"/>
    </row>
    <row r="25" spans="15:37" x14ac:dyDescent="0.25">
      <c r="S25" s="146" t="s">
        <v>44</v>
      </c>
      <c r="T25" s="89">
        <v>23</v>
      </c>
      <c r="U25" s="104" t="s">
        <v>128</v>
      </c>
      <c r="V25" s="89">
        <v>10</v>
      </c>
      <c r="W25" s="102"/>
      <c r="X25" s="17" t="s">
        <v>43</v>
      </c>
      <c r="Y25" s="146">
        <v>23</v>
      </c>
      <c r="Z25" s="146" t="s">
        <v>109</v>
      </c>
      <c r="AA25" s="147">
        <v>10</v>
      </c>
      <c r="AB25" s="102"/>
      <c r="AC25" s="17" t="s">
        <v>83</v>
      </c>
      <c r="AD25" s="17">
        <v>23</v>
      </c>
      <c r="AE25" s="17" t="s">
        <v>107</v>
      </c>
      <c r="AF25" s="17">
        <v>15</v>
      </c>
      <c r="AH25" s="5" t="s">
        <v>90</v>
      </c>
      <c r="AI25" s="5"/>
      <c r="AJ25" s="5"/>
      <c r="AK25" s="5"/>
    </row>
    <row r="26" spans="15:37" x14ac:dyDescent="0.25">
      <c r="S26" s="146" t="s">
        <v>44</v>
      </c>
      <c r="T26" s="89">
        <v>24</v>
      </c>
      <c r="U26" s="104" t="s">
        <v>129</v>
      </c>
      <c r="V26" s="89">
        <v>10</v>
      </c>
      <c r="W26" s="102"/>
      <c r="X26" s="17" t="s">
        <v>43</v>
      </c>
      <c r="Y26" s="146">
        <v>24</v>
      </c>
      <c r="Z26" s="146" t="s">
        <v>128</v>
      </c>
      <c r="AA26" s="147">
        <v>10</v>
      </c>
      <c r="AB26" s="102"/>
      <c r="AC26" s="17" t="s">
        <v>83</v>
      </c>
      <c r="AD26" s="17">
        <v>24</v>
      </c>
      <c r="AE26" s="17" t="s">
        <v>185</v>
      </c>
      <c r="AF26" s="17">
        <v>240</v>
      </c>
      <c r="AH26" s="5" t="s">
        <v>90</v>
      </c>
      <c r="AI26" s="5"/>
      <c r="AJ26" s="5"/>
      <c r="AK26" s="5"/>
    </row>
    <row r="27" spans="15:37" x14ac:dyDescent="0.25">
      <c r="S27" s="146" t="s">
        <v>44</v>
      </c>
      <c r="T27" s="89">
        <v>25</v>
      </c>
      <c r="U27" s="104" t="s">
        <v>6</v>
      </c>
      <c r="V27" s="89">
        <v>40</v>
      </c>
      <c r="W27" s="102"/>
      <c r="X27" s="17" t="s">
        <v>43</v>
      </c>
      <c r="Y27" s="146">
        <v>25</v>
      </c>
      <c r="Z27" s="146" t="s">
        <v>129</v>
      </c>
      <c r="AA27" s="147">
        <v>10</v>
      </c>
      <c r="AB27" s="102"/>
      <c r="AC27" s="17" t="s">
        <v>83</v>
      </c>
      <c r="AD27" s="17">
        <v>25</v>
      </c>
      <c r="AE27" s="17" t="s">
        <v>57</v>
      </c>
      <c r="AF27" s="17">
        <v>48</v>
      </c>
      <c r="AH27" s="5" t="s">
        <v>90</v>
      </c>
      <c r="AI27" s="5"/>
      <c r="AJ27" s="5"/>
      <c r="AK27" s="5"/>
    </row>
    <row r="28" spans="15:37" x14ac:dyDescent="0.25">
      <c r="S28" s="146" t="s">
        <v>44</v>
      </c>
      <c r="T28" s="89">
        <v>26</v>
      </c>
      <c r="U28" s="104" t="s">
        <v>7</v>
      </c>
      <c r="V28" s="89">
        <v>14</v>
      </c>
      <c r="W28" s="102"/>
      <c r="X28" s="17" t="s">
        <v>43</v>
      </c>
      <c r="Y28" s="146">
        <v>26</v>
      </c>
      <c r="Z28" s="146" t="s">
        <v>6</v>
      </c>
      <c r="AA28" s="147">
        <v>40</v>
      </c>
      <c r="AB28" s="102"/>
      <c r="AC28" s="17" t="s">
        <v>83</v>
      </c>
      <c r="AD28" s="17">
        <v>26</v>
      </c>
      <c r="AE28" s="17" t="s">
        <v>108</v>
      </c>
      <c r="AF28" s="17">
        <v>32</v>
      </c>
      <c r="AH28" s="5" t="s">
        <v>90</v>
      </c>
      <c r="AI28" s="5"/>
      <c r="AJ28" s="5"/>
      <c r="AK28" s="5"/>
    </row>
    <row r="29" spans="15:37" x14ac:dyDescent="0.25">
      <c r="S29" s="148" t="s">
        <v>44</v>
      </c>
      <c r="T29" s="149">
        <v>27</v>
      </c>
      <c r="U29" s="150" t="s">
        <v>110</v>
      </c>
      <c r="V29" s="149">
        <v>20</v>
      </c>
      <c r="W29" s="102"/>
      <c r="X29" s="17" t="s">
        <v>43</v>
      </c>
      <c r="Y29" s="146">
        <v>27</v>
      </c>
      <c r="Z29" s="146" t="s">
        <v>7</v>
      </c>
      <c r="AA29" s="147">
        <v>21</v>
      </c>
      <c r="AB29" s="102"/>
      <c r="AC29" s="17" t="s">
        <v>83</v>
      </c>
      <c r="AD29" s="17">
        <v>27</v>
      </c>
      <c r="AE29" s="17" t="s">
        <v>58</v>
      </c>
      <c r="AF29" s="17">
        <v>72</v>
      </c>
      <c r="AH29" s="5" t="s">
        <v>90</v>
      </c>
      <c r="AI29" s="5"/>
      <c r="AJ29" s="5"/>
      <c r="AK29" s="5"/>
    </row>
    <row r="30" spans="15:37" x14ac:dyDescent="0.25">
      <c r="S30" s="102"/>
      <c r="T30" s="102"/>
      <c r="U30" s="102"/>
      <c r="V30" s="102"/>
      <c r="W30" s="102"/>
      <c r="X30" s="17" t="s">
        <v>43</v>
      </c>
      <c r="Y30" s="148">
        <v>28</v>
      </c>
      <c r="Z30" s="148" t="s">
        <v>110</v>
      </c>
      <c r="AA30" s="151">
        <v>20</v>
      </c>
      <c r="AB30" s="102"/>
      <c r="AC30" s="17" t="s">
        <v>83</v>
      </c>
      <c r="AD30" s="17">
        <v>28</v>
      </c>
      <c r="AE30" s="17" t="s">
        <v>109</v>
      </c>
      <c r="AF30" s="17">
        <v>20</v>
      </c>
      <c r="AH30" s="5" t="s">
        <v>90</v>
      </c>
      <c r="AI30" s="5"/>
      <c r="AJ30" s="5"/>
      <c r="AK30" s="5"/>
    </row>
    <row r="31" spans="15:37" x14ac:dyDescent="0.25"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7" t="s">
        <v>83</v>
      </c>
      <c r="AD31" s="17">
        <v>29</v>
      </c>
      <c r="AE31" s="17" t="s">
        <v>128</v>
      </c>
      <c r="AF31" s="17">
        <v>16</v>
      </c>
      <c r="AH31" s="5" t="s">
        <v>90</v>
      </c>
      <c r="AI31" s="5"/>
      <c r="AJ31" s="5"/>
      <c r="AK31" s="5"/>
    </row>
    <row r="32" spans="15:37" x14ac:dyDescent="0.25"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7" t="s">
        <v>83</v>
      </c>
      <c r="AD32" s="17">
        <v>30</v>
      </c>
      <c r="AE32" s="17" t="s">
        <v>186</v>
      </c>
      <c r="AF32" s="17">
        <v>20</v>
      </c>
      <c r="AH32" s="5" t="s">
        <v>90</v>
      </c>
      <c r="AI32" s="5"/>
      <c r="AJ32" s="5"/>
      <c r="AK32" s="5"/>
    </row>
    <row r="33" spans="19:37" x14ac:dyDescent="0.25"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7" t="s">
        <v>83</v>
      </c>
      <c r="AD33" s="17">
        <v>31</v>
      </c>
      <c r="AE33" s="17" t="s">
        <v>6</v>
      </c>
      <c r="AF33" s="17">
        <v>40</v>
      </c>
      <c r="AH33" s="5" t="s">
        <v>90</v>
      </c>
      <c r="AI33" s="5"/>
      <c r="AJ33" s="5"/>
      <c r="AK33" s="5"/>
    </row>
    <row r="34" spans="19:37" x14ac:dyDescent="0.25"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7" t="s">
        <v>83</v>
      </c>
      <c r="AD34" s="17">
        <v>32</v>
      </c>
      <c r="AE34" s="17" t="s">
        <v>7</v>
      </c>
      <c r="AF34" s="17">
        <v>60</v>
      </c>
      <c r="AH34" s="5" t="s">
        <v>90</v>
      </c>
      <c r="AI34" s="5"/>
      <c r="AJ34" s="5"/>
      <c r="AK34" s="5"/>
    </row>
    <row r="35" spans="19:37" x14ac:dyDescent="0.25"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7" t="s">
        <v>83</v>
      </c>
      <c r="AD35" s="17">
        <v>33</v>
      </c>
      <c r="AE35" s="17" t="s">
        <v>110</v>
      </c>
      <c r="AF35" s="17">
        <v>60</v>
      </c>
      <c r="AH35" s="5" t="s">
        <v>90</v>
      </c>
      <c r="AI35" s="5"/>
      <c r="AJ35" s="5"/>
      <c r="AK35" s="5"/>
    </row>
  </sheetData>
  <phoneticPr fontId="10" type="noConversion"/>
  <dataValidations count="3">
    <dataValidation type="list" showInputMessage="1" showErrorMessage="1" sqref="J4:J8">
      <formula1>ProgDeform</formula1>
    </dataValidation>
    <dataValidation showInputMessage="1" showErrorMessage="1" sqref="L4:L8 J9"/>
    <dataValidation type="list" allowBlank="1" showInputMessage="1" showErrorMessage="1" sqref="A4:A5">
      <formula1>GradeAR</formula1>
    </dataValidation>
  </dataValidations>
  <pageMargins left="0.7" right="0.7" top="0.75" bottom="0.75" header="0.3" footer="0.3"/>
  <pageSetup paperSize="9" orientation="portrait" horizontalDpi="4294967294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D162"/>
  <sheetViews>
    <sheetView zoomScale="85" zoomScaleNormal="85" workbookViewId="0">
      <pane xSplit="8" ySplit="4" topLeftCell="I5" activePane="bottomRight" state="frozen"/>
      <selection activeCell="E4" sqref="E4"/>
      <selection pane="topRight" activeCell="E4" sqref="E4"/>
      <selection pane="bottomLeft" activeCell="E4" sqref="E4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SUM(Tableau135[s1])</f>
        <v>0</v>
      </c>
      <c r="J3">
        <f>SUM(Tableau135[s2])</f>
        <v>0</v>
      </c>
      <c r="K3">
        <f>SUM(Tableau135[s3])</f>
        <v>0</v>
      </c>
      <c r="L3" s="102">
        <f>SUM(Tableau135[s4])</f>
        <v>0</v>
      </c>
      <c r="M3" s="102">
        <f>SUM(Tableau135[s5])</f>
        <v>0</v>
      </c>
      <c r="N3" s="102">
        <f>SUM(Tableau135[s6])</f>
        <v>0</v>
      </c>
      <c r="O3" s="102">
        <f>SUM(Tableau135[s7])</f>
        <v>0</v>
      </c>
      <c r="P3" s="102">
        <f>SUM(Tableau135[s8])</f>
        <v>0</v>
      </c>
      <c r="Q3" s="102">
        <f>SUM(Tableau135[s9])</f>
        <v>0</v>
      </c>
      <c r="R3" s="102">
        <f>SUM(Tableau135[s10])</f>
        <v>0</v>
      </c>
      <c r="S3" s="102">
        <f>SUM(Tableau135[s11])</f>
        <v>0</v>
      </c>
      <c r="T3" s="102">
        <f>SUM(Tableau135[s12])</f>
        <v>0</v>
      </c>
      <c r="U3">
        <f>SUM(Tableau135[s13])</f>
        <v>0</v>
      </c>
      <c r="V3">
        <f>SUM(Tableau135[s14])</f>
        <v>0</v>
      </c>
      <c r="W3" s="134">
        <f>SUM(Tableau135[s15])</f>
        <v>0</v>
      </c>
      <c r="X3">
        <f>SUM(Tableau135[s16])</f>
        <v>0</v>
      </c>
      <c r="Y3">
        <f>SUM(Tableau135[s17])</f>
        <v>0</v>
      </c>
      <c r="Z3">
        <f>SUM(Tableau135[s18])</f>
        <v>0</v>
      </c>
      <c r="AA3">
        <f>SUM(Tableau135[s19])</f>
        <v>0</v>
      </c>
      <c r="AB3">
        <f>SUM(Tableau135[s20])</f>
        <v>0</v>
      </c>
      <c r="AC3">
        <f>SUM(Tableau135[s21])</f>
        <v>0</v>
      </c>
      <c r="AD3">
        <f>SUM(Tableau135[s22])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62"/>
      <c r="B5" s="104"/>
      <c r="C5" s="104"/>
      <c r="D5" s="163"/>
      <c r="E5" s="104"/>
      <c r="F5" s="27">
        <f>Tableau135[[#This Row],[durée]]-Tableau135[[#This Row],[Total]]</f>
        <v>0</v>
      </c>
      <c r="G5" s="27">
        <f>Tableau135[[#This Row],[durée]]*80%</f>
        <v>0</v>
      </c>
      <c r="H5" s="28">
        <f>SUM(Tableau135[[#This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64"/>
      <c r="B6" s="165"/>
      <c r="C6" s="165"/>
      <c r="D6" s="165"/>
      <c r="E6" s="165"/>
      <c r="F6" s="27">
        <f>Tableau135[[#This Row],[durée]]-Tableau135[[#This Row],[Total]]</f>
        <v>0</v>
      </c>
      <c r="G6" s="27">
        <f>Tableau135[[#This Row],[durée]]*80%</f>
        <v>0</v>
      </c>
      <c r="H6" s="28">
        <f>SUM(Tableau135[[#This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64"/>
      <c r="B7" s="165"/>
      <c r="C7" s="165"/>
      <c r="D7" s="165"/>
      <c r="E7" s="165"/>
      <c r="F7" s="27">
        <f>Tableau135[[#This Row],[durée]]-Tableau135[[#This Row],[Total]]</f>
        <v>0</v>
      </c>
      <c r="G7" s="27">
        <f>Tableau135[[#This Row],[durée]]*80%</f>
        <v>0</v>
      </c>
      <c r="H7" s="28">
        <f>SUM(Tableau135[[#This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64"/>
      <c r="B8" s="165"/>
      <c r="C8" s="165"/>
      <c r="D8" s="165"/>
      <c r="E8" s="165"/>
      <c r="F8" s="27">
        <f>Tableau135[[#This Row],[durée]]-Tableau135[[#This Row],[Total]]</f>
        <v>0</v>
      </c>
      <c r="G8" s="27">
        <f>Tableau135[[#This Row],[durée]]*80%</f>
        <v>0</v>
      </c>
      <c r="H8" s="28">
        <f>SUM(Tableau135[[#This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64"/>
      <c r="B9" s="165"/>
      <c r="C9" s="165"/>
      <c r="D9" s="165"/>
      <c r="E9" s="165"/>
      <c r="F9" s="27">
        <f>Tableau135[[#This Row],[durée]]-Tableau135[[#This Row],[Total]]</f>
        <v>0</v>
      </c>
      <c r="G9" s="27">
        <f>Tableau135[[#This Row],[durée]]*80%</f>
        <v>0</v>
      </c>
      <c r="H9" s="28">
        <f>SUM(Tableau135[[#This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64"/>
      <c r="B10" s="165"/>
      <c r="C10" s="165"/>
      <c r="D10" s="165"/>
      <c r="E10" s="165"/>
      <c r="F10" s="27">
        <f>Tableau135[[#This Row],[durée]]-Tableau135[[#This Row],[Total]]</f>
        <v>0</v>
      </c>
      <c r="G10" s="27">
        <f>Tableau135[[#This Row],[durée]]*80%</f>
        <v>0</v>
      </c>
      <c r="H10" s="28">
        <f>SUM(Tableau135[[#This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64"/>
      <c r="B11" s="165"/>
      <c r="C11" s="165"/>
      <c r="D11" s="165"/>
      <c r="E11" s="165"/>
      <c r="F11" s="27">
        <f>Tableau135[[#This Row],[durée]]-Tableau135[[#This Row],[Total]]</f>
        <v>0</v>
      </c>
      <c r="G11" s="27">
        <f>Tableau135[[#This Row],[durée]]*80%</f>
        <v>0</v>
      </c>
      <c r="H11" s="28">
        <f>SUM(Tableau135[[#This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64"/>
      <c r="B12" s="165"/>
      <c r="C12" s="165"/>
      <c r="D12" s="165"/>
      <c r="E12" s="165"/>
      <c r="F12" s="27">
        <f>Tableau135[[#This Row],[durée]]-Tableau135[[#This Row],[Total]]</f>
        <v>0</v>
      </c>
      <c r="G12" s="27">
        <f>Tableau135[[#This Row],[durée]]*80%</f>
        <v>0</v>
      </c>
      <c r="H12" s="28">
        <f>SUM(Tableau135[[#This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64"/>
      <c r="B13" s="165"/>
      <c r="C13" s="165"/>
      <c r="D13" s="165"/>
      <c r="E13" s="165"/>
      <c r="F13" s="27">
        <f>Tableau135[[#This Row],[durée]]-Tableau135[[#This Row],[Total]]</f>
        <v>0</v>
      </c>
      <c r="G13" s="27">
        <f>Tableau135[[#This Row],[durée]]*80%</f>
        <v>0</v>
      </c>
      <c r="H13" s="28">
        <f>SUM(Tableau135[[#This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64"/>
      <c r="B14" s="165"/>
      <c r="C14" s="165"/>
      <c r="D14" s="165"/>
      <c r="E14" s="165"/>
      <c r="F14" s="27">
        <f>Tableau135[[#This Row],[durée]]-Tableau135[[#This Row],[Total]]</f>
        <v>0</v>
      </c>
      <c r="G14" s="27">
        <f>Tableau135[[#This Row],[durée]]*80%</f>
        <v>0</v>
      </c>
      <c r="H14" s="28">
        <f>SUM(Tableau135[[#This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64"/>
      <c r="B15" s="165"/>
      <c r="C15" s="165"/>
      <c r="D15" s="165"/>
      <c r="E15" s="165"/>
      <c r="F15" s="27">
        <f>Tableau135[[#This Row],[durée]]-Tableau135[[#This Row],[Total]]</f>
        <v>0</v>
      </c>
      <c r="G15" s="27">
        <f>Tableau135[[#This Row],[durée]]*80%</f>
        <v>0</v>
      </c>
      <c r="H15" s="28">
        <f>SUM(Tableau135[[#This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64"/>
      <c r="B16" s="165"/>
      <c r="C16" s="165"/>
      <c r="D16" s="165"/>
      <c r="E16" s="165"/>
      <c r="F16" s="27">
        <f>Tableau135[[#This Row],[durée]]-Tableau135[[#This Row],[Total]]</f>
        <v>0</v>
      </c>
      <c r="G16" s="27">
        <f>Tableau135[[#This Row],[durée]]*80%</f>
        <v>0</v>
      </c>
      <c r="H16" s="28">
        <f>SUM(Tableau135[[#This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64"/>
      <c r="B17" s="165"/>
      <c r="C17" s="165"/>
      <c r="D17" s="165"/>
      <c r="E17" s="165"/>
      <c r="F17" s="27">
        <f>Tableau135[[#This Row],[durée]]-Tableau135[[#This Row],[Total]]</f>
        <v>0</v>
      </c>
      <c r="G17" s="27">
        <f>Tableau135[[#This Row],[durée]]*80%</f>
        <v>0</v>
      </c>
      <c r="H17" s="28">
        <f>SUM(Tableau135[[#This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64"/>
      <c r="B18" s="165"/>
      <c r="C18" s="165"/>
      <c r="D18" s="165"/>
      <c r="E18" s="165"/>
      <c r="F18" s="27">
        <f>Tableau135[[#This Row],[durée]]-Tableau135[[#This Row],[Total]]</f>
        <v>0</v>
      </c>
      <c r="G18" s="27">
        <f>Tableau135[[#This Row],[durée]]*80%</f>
        <v>0</v>
      </c>
      <c r="H18" s="28">
        <f>SUM(Tableau135[[#This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64"/>
      <c r="B19" s="165"/>
      <c r="C19" s="165"/>
      <c r="D19" s="165"/>
      <c r="E19" s="165"/>
      <c r="F19" s="27">
        <f>Tableau135[[#This Row],[durée]]-Tableau135[[#This Row],[Total]]</f>
        <v>0</v>
      </c>
      <c r="G19" s="27">
        <f>Tableau135[[#This Row],[durée]]*80%</f>
        <v>0</v>
      </c>
      <c r="H19" s="28">
        <f>SUM(Tableau135[[#This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64"/>
      <c r="B20" s="165"/>
      <c r="C20" s="165"/>
      <c r="D20" s="165"/>
      <c r="E20" s="165"/>
      <c r="F20" s="27">
        <f>Tableau135[[#This Row],[durée]]-Tableau135[[#This Row],[Total]]</f>
        <v>0</v>
      </c>
      <c r="G20" s="27">
        <f>Tableau135[[#This Row],[durée]]*80%</f>
        <v>0</v>
      </c>
      <c r="H20" s="28">
        <f>SUM(Tableau135[[#This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64"/>
      <c r="B21" s="165"/>
      <c r="C21" s="165"/>
      <c r="D21" s="165"/>
      <c r="E21" s="165"/>
      <c r="F21" s="27">
        <f>Tableau135[[#This Row],[durée]]-Tableau135[[#This Row],[Total]]</f>
        <v>0</v>
      </c>
      <c r="G21" s="27">
        <f>Tableau135[[#This Row],[durée]]*80%</f>
        <v>0</v>
      </c>
      <c r="H21" s="28">
        <f>SUM(Tableau135[[#This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66"/>
      <c r="B22" s="104"/>
      <c r="C22" s="104"/>
      <c r="D22" s="104"/>
      <c r="E22" s="104"/>
      <c r="F22" s="27">
        <f>Tableau135[[#This Row],[durée]]-Tableau135[[#This Row],[Total]]</f>
        <v>0</v>
      </c>
      <c r="G22" s="27">
        <f>Tableau135[[#This Row],[durée]]*80%</f>
        <v>0</v>
      </c>
      <c r="H22" s="28">
        <f>SUM(Tableau135[[#This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67"/>
      <c r="B23" s="167"/>
      <c r="C23" s="167"/>
      <c r="D23" s="167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167"/>
      <c r="B24" s="167"/>
      <c r="C24" s="167"/>
      <c r="D24" s="167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167"/>
      <c r="B25" s="167"/>
      <c r="C25" s="167"/>
      <c r="D25" s="167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167"/>
      <c r="B26" s="167"/>
      <c r="C26" s="167"/>
      <c r="D26" s="167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167"/>
      <c r="B27" s="167"/>
      <c r="C27" s="167"/>
      <c r="D27" s="167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167"/>
      <c r="B28" s="167"/>
      <c r="C28" s="167"/>
      <c r="D28" s="167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167"/>
      <c r="B29" s="167"/>
      <c r="C29" s="167"/>
      <c r="D29" s="167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167"/>
      <c r="B30" s="167"/>
      <c r="C30" s="167"/>
      <c r="D30" s="167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167"/>
      <c r="B31" s="167"/>
      <c r="C31" s="167"/>
      <c r="D31" s="167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2:20" x14ac:dyDescent="0.25"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2:20" x14ac:dyDescent="0.25"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2:20" x14ac:dyDescent="0.25"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2:20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2:20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2:20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2:20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2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2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2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2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2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2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2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2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2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SUM(Tableau136[s1])</f>
        <v>0</v>
      </c>
      <c r="J3">
        <f>SUM(Tableau136[s2])</f>
        <v>0</v>
      </c>
      <c r="K3">
        <f>SUM(Tableau136[s3])</f>
        <v>0</v>
      </c>
      <c r="L3" s="102">
        <f>SUM(Tableau136[s4])</f>
        <v>0</v>
      </c>
      <c r="M3" s="102">
        <f>SUM(Tableau136[s5])</f>
        <v>0</v>
      </c>
      <c r="N3" s="102">
        <f>SUM(Tableau136[s6])</f>
        <v>0</v>
      </c>
      <c r="O3" s="102">
        <f>SUM(Tableau136[s7])</f>
        <v>0</v>
      </c>
      <c r="P3" s="102">
        <f>SUM(Tableau136[s8])</f>
        <v>0</v>
      </c>
      <c r="Q3" s="102">
        <f>SUM(Tableau136[s9])</f>
        <v>0</v>
      </c>
      <c r="R3" s="102">
        <f>SUM(Tableau136[s10])</f>
        <v>0</v>
      </c>
      <c r="S3" s="102">
        <f>SUM(Tableau136[s11])</f>
        <v>0</v>
      </c>
      <c r="T3" s="102">
        <f>SUM(Tableau136[s12])</f>
        <v>0</v>
      </c>
      <c r="U3">
        <f>SUM(Tableau136[s13])</f>
        <v>0</v>
      </c>
      <c r="V3">
        <f>SUM(Tableau136[s14])</f>
        <v>0</v>
      </c>
      <c r="W3" s="134">
        <f>SUM(Tableau136[s15])</f>
        <v>0</v>
      </c>
      <c r="X3">
        <f>SUM(Tableau136[s16])</f>
        <v>0</v>
      </c>
      <c r="Y3">
        <f>SUM(Tableau136[s17])</f>
        <v>0</v>
      </c>
      <c r="Z3">
        <f>SUM(Tableau136[s18])</f>
        <v>0</v>
      </c>
      <c r="AA3">
        <f>SUM(Tableau136[s19])</f>
        <v>0</v>
      </c>
      <c r="AB3">
        <f>SUM(Tableau136[s20])</f>
        <v>0</v>
      </c>
      <c r="AC3">
        <f>SUM(Tableau136[s21])</f>
        <v>0</v>
      </c>
      <c r="AD3">
        <f>SUM(Tableau136[s22])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62"/>
      <c r="B5" s="104"/>
      <c r="C5" s="104"/>
      <c r="D5" s="163"/>
      <c r="E5" s="104"/>
      <c r="F5" s="27">
        <f>Tableau136[[#This Row],[durée]]-Tableau136[[#This Row],[Total]]</f>
        <v>0</v>
      </c>
      <c r="G5" s="27">
        <f>Tableau136[[#This Row],[durée]]*80%</f>
        <v>0</v>
      </c>
      <c r="H5" s="28">
        <f>SUM(Tableau136[[#This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64"/>
      <c r="B6" s="165"/>
      <c r="C6" s="165"/>
      <c r="D6" s="165"/>
      <c r="E6" s="165"/>
      <c r="F6" s="27">
        <f>Tableau136[[#This Row],[durée]]-Tableau136[[#This Row],[Total]]</f>
        <v>0</v>
      </c>
      <c r="G6" s="27">
        <f>Tableau136[[#This Row],[durée]]*80%</f>
        <v>0</v>
      </c>
      <c r="H6" s="28">
        <f>SUM(Tableau136[[#This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64"/>
      <c r="B7" s="165"/>
      <c r="C7" s="165"/>
      <c r="D7" s="165"/>
      <c r="E7" s="165"/>
      <c r="F7" s="27">
        <f>Tableau136[[#This Row],[durée]]-Tableau136[[#This Row],[Total]]</f>
        <v>0</v>
      </c>
      <c r="G7" s="27">
        <f>Tableau136[[#This Row],[durée]]*80%</f>
        <v>0</v>
      </c>
      <c r="H7" s="28">
        <f>SUM(Tableau136[[#This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64"/>
      <c r="B8" s="165"/>
      <c r="C8" s="165"/>
      <c r="D8" s="165"/>
      <c r="E8" s="165"/>
      <c r="F8" s="27">
        <f>Tableau136[[#This Row],[durée]]-Tableau136[[#This Row],[Total]]</f>
        <v>0</v>
      </c>
      <c r="G8" s="27">
        <f>Tableau136[[#This Row],[durée]]*80%</f>
        <v>0</v>
      </c>
      <c r="H8" s="28">
        <f>SUM(Tableau136[[#This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64"/>
      <c r="B9" s="165"/>
      <c r="C9" s="165"/>
      <c r="D9" s="165"/>
      <c r="E9" s="165"/>
      <c r="F9" s="27">
        <f>Tableau136[[#This Row],[durée]]-Tableau136[[#This Row],[Total]]</f>
        <v>0</v>
      </c>
      <c r="G9" s="27">
        <f>Tableau136[[#This Row],[durée]]*80%</f>
        <v>0</v>
      </c>
      <c r="H9" s="28">
        <f>SUM(Tableau136[[#This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64"/>
      <c r="B10" s="165"/>
      <c r="C10" s="165"/>
      <c r="D10" s="165"/>
      <c r="E10" s="165"/>
      <c r="F10" s="27">
        <f>Tableau136[[#This Row],[durée]]-Tableau136[[#This Row],[Total]]</f>
        <v>0</v>
      </c>
      <c r="G10" s="27">
        <f>Tableau136[[#This Row],[durée]]*80%</f>
        <v>0</v>
      </c>
      <c r="H10" s="28">
        <f>SUM(Tableau136[[#This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64"/>
      <c r="B11" s="165"/>
      <c r="C11" s="165"/>
      <c r="D11" s="165"/>
      <c r="E11" s="165"/>
      <c r="F11" s="27">
        <f>Tableau136[[#This Row],[durée]]-Tableau136[[#This Row],[Total]]</f>
        <v>0</v>
      </c>
      <c r="G11" s="27">
        <f>Tableau136[[#This Row],[durée]]*80%</f>
        <v>0</v>
      </c>
      <c r="H11" s="28">
        <f>SUM(Tableau136[[#This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64"/>
      <c r="B12" s="165"/>
      <c r="C12" s="165"/>
      <c r="D12" s="165"/>
      <c r="E12" s="165"/>
      <c r="F12" s="27">
        <f>Tableau136[[#This Row],[durée]]-Tableau136[[#This Row],[Total]]</f>
        <v>0</v>
      </c>
      <c r="G12" s="27">
        <f>Tableau136[[#This Row],[durée]]*80%</f>
        <v>0</v>
      </c>
      <c r="H12" s="28">
        <f>SUM(Tableau136[[#This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64"/>
      <c r="B13" s="165"/>
      <c r="C13" s="165"/>
      <c r="D13" s="165"/>
      <c r="E13" s="165"/>
      <c r="F13" s="27">
        <f>Tableau136[[#This Row],[durée]]-Tableau136[[#This Row],[Total]]</f>
        <v>0</v>
      </c>
      <c r="G13" s="27">
        <f>Tableau136[[#This Row],[durée]]*80%</f>
        <v>0</v>
      </c>
      <c r="H13" s="28">
        <f>SUM(Tableau136[[#This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64"/>
      <c r="B14" s="165"/>
      <c r="C14" s="165"/>
      <c r="D14" s="165"/>
      <c r="E14" s="165"/>
      <c r="F14" s="27">
        <f>Tableau136[[#This Row],[durée]]-Tableau136[[#This Row],[Total]]</f>
        <v>0</v>
      </c>
      <c r="G14" s="27">
        <f>Tableau136[[#This Row],[durée]]*80%</f>
        <v>0</v>
      </c>
      <c r="H14" s="28">
        <f>SUM(Tableau136[[#This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64"/>
      <c r="B15" s="165"/>
      <c r="C15" s="165"/>
      <c r="D15" s="165"/>
      <c r="E15" s="165"/>
      <c r="F15" s="27">
        <f>Tableau136[[#This Row],[durée]]-Tableau136[[#This Row],[Total]]</f>
        <v>0</v>
      </c>
      <c r="G15" s="27">
        <f>Tableau136[[#This Row],[durée]]*80%</f>
        <v>0</v>
      </c>
      <c r="H15" s="28">
        <f>SUM(Tableau136[[#This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64"/>
      <c r="B16" s="165"/>
      <c r="C16" s="165"/>
      <c r="D16" s="165"/>
      <c r="E16" s="165"/>
      <c r="F16" s="27">
        <f>Tableau136[[#This Row],[durée]]-Tableau136[[#This Row],[Total]]</f>
        <v>0</v>
      </c>
      <c r="G16" s="27">
        <f>Tableau136[[#This Row],[durée]]*80%</f>
        <v>0</v>
      </c>
      <c r="H16" s="28">
        <f>SUM(Tableau136[[#This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64"/>
      <c r="B17" s="165"/>
      <c r="C17" s="165"/>
      <c r="D17" s="165"/>
      <c r="E17" s="165"/>
      <c r="F17" s="27">
        <f>Tableau136[[#This Row],[durée]]-Tableau136[[#This Row],[Total]]</f>
        <v>0</v>
      </c>
      <c r="G17" s="27">
        <f>Tableau136[[#This Row],[durée]]*80%</f>
        <v>0</v>
      </c>
      <c r="H17" s="28">
        <f>SUM(Tableau136[[#This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64"/>
      <c r="B18" s="165"/>
      <c r="C18" s="165"/>
      <c r="D18" s="165"/>
      <c r="E18" s="165"/>
      <c r="F18" s="27">
        <f>Tableau136[[#This Row],[durée]]-Tableau136[[#This Row],[Total]]</f>
        <v>0</v>
      </c>
      <c r="G18" s="27">
        <f>Tableau136[[#This Row],[durée]]*80%</f>
        <v>0</v>
      </c>
      <c r="H18" s="28">
        <f>SUM(Tableau136[[#This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64"/>
      <c r="B19" s="165"/>
      <c r="C19" s="165"/>
      <c r="D19" s="165"/>
      <c r="E19" s="165"/>
      <c r="F19" s="27">
        <f>Tableau136[[#This Row],[durée]]-Tableau136[[#This Row],[Total]]</f>
        <v>0</v>
      </c>
      <c r="G19" s="27">
        <f>Tableau136[[#This Row],[durée]]*80%</f>
        <v>0</v>
      </c>
      <c r="H19" s="28">
        <f>SUM(Tableau136[[#This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64"/>
      <c r="B20" s="165"/>
      <c r="C20" s="165"/>
      <c r="D20" s="165"/>
      <c r="E20" s="165"/>
      <c r="F20" s="27">
        <f>Tableau136[[#This Row],[durée]]-Tableau136[[#This Row],[Total]]</f>
        <v>0</v>
      </c>
      <c r="G20" s="27">
        <f>Tableau136[[#This Row],[durée]]*80%</f>
        <v>0</v>
      </c>
      <c r="H20" s="28">
        <f>SUM(Tableau136[[#This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64"/>
      <c r="B21" s="165"/>
      <c r="C21" s="165"/>
      <c r="D21" s="165"/>
      <c r="E21" s="165"/>
      <c r="F21" s="27">
        <f>Tableau136[[#This Row],[durée]]-Tableau136[[#This Row],[Total]]</f>
        <v>0</v>
      </c>
      <c r="G21" s="27">
        <f>Tableau136[[#This Row],[durée]]*80%</f>
        <v>0</v>
      </c>
      <c r="H21" s="28">
        <f>SUM(Tableau136[[#This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66"/>
      <c r="B22" s="104"/>
      <c r="C22" s="104"/>
      <c r="D22" s="104"/>
      <c r="E22" s="104"/>
      <c r="F22" s="27">
        <f>Tableau136[[#This Row],[durée]]-Tableau136[[#This Row],[Total]]</f>
        <v>0</v>
      </c>
      <c r="G22" s="27">
        <f>Tableau136[[#This Row],[durée]]*80%</f>
        <v>0</v>
      </c>
      <c r="H22" s="28">
        <f>SUM(Tableau136[[#This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67"/>
      <c r="B23" s="167"/>
      <c r="C23" s="167"/>
      <c r="D23" s="167"/>
      <c r="E23" s="167"/>
      <c r="L23" s="102"/>
      <c r="M23" s="102"/>
      <c r="N23" s="102"/>
      <c r="O23" s="102"/>
      <c r="P23" s="102"/>
      <c r="Q23" s="102"/>
      <c r="R23" s="102"/>
      <c r="S23" s="102"/>
      <c r="T23" s="102"/>
    </row>
    <row r="24" spans="1:56" x14ac:dyDescent="0.25">
      <c r="A24" s="167"/>
      <c r="B24" s="167"/>
      <c r="C24" s="167"/>
      <c r="D24" s="167"/>
      <c r="E24" s="167"/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56" x14ac:dyDescent="0.25">
      <c r="A25" s="167"/>
      <c r="B25" s="167"/>
      <c r="C25" s="167"/>
      <c r="D25" s="167"/>
      <c r="E25" s="167"/>
      <c r="L25" s="102"/>
      <c r="M25" s="102"/>
      <c r="N25" s="102"/>
      <c r="O25" s="102"/>
      <c r="P25" s="102"/>
      <c r="Q25" s="102"/>
      <c r="R25" s="102"/>
      <c r="S25" s="102"/>
      <c r="T25" s="102"/>
    </row>
    <row r="26" spans="1:56" x14ac:dyDescent="0.25">
      <c r="A26" s="167"/>
      <c r="B26" s="167"/>
      <c r="C26" s="167"/>
      <c r="D26" s="167"/>
      <c r="E26" s="167"/>
      <c r="L26" s="102"/>
      <c r="M26" s="102"/>
      <c r="N26" s="102"/>
      <c r="O26" s="102"/>
      <c r="P26" s="102"/>
      <c r="Q26" s="102"/>
      <c r="R26" s="102"/>
      <c r="S26" s="102"/>
      <c r="T26" s="102"/>
    </row>
    <row r="27" spans="1:56" x14ac:dyDescent="0.25">
      <c r="A27" s="167"/>
      <c r="B27" s="167"/>
      <c r="C27" s="167"/>
      <c r="D27" s="167"/>
      <c r="E27" s="167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1:56" x14ac:dyDescent="0.25">
      <c r="A28" s="167"/>
      <c r="B28" s="167"/>
      <c r="C28" s="167"/>
      <c r="D28" s="167"/>
      <c r="E28" s="167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1:56" x14ac:dyDescent="0.25">
      <c r="A29" s="167"/>
      <c r="B29" s="167"/>
      <c r="C29" s="167"/>
      <c r="D29" s="167"/>
      <c r="E29" s="167"/>
      <c r="L29" s="102"/>
      <c r="M29" s="102"/>
      <c r="N29" s="102"/>
      <c r="O29" s="102"/>
      <c r="P29" s="102"/>
      <c r="Q29" s="102"/>
      <c r="R29" s="102"/>
      <c r="S29" s="102"/>
      <c r="T29" s="102"/>
    </row>
    <row r="30" spans="1:56" x14ac:dyDescent="0.25">
      <c r="A30" s="167"/>
      <c r="B30" s="167"/>
      <c r="C30" s="167"/>
      <c r="D30" s="167"/>
      <c r="E30" s="167"/>
      <c r="L30" s="102"/>
      <c r="M30" s="102"/>
      <c r="N30" s="102"/>
      <c r="O30" s="102"/>
      <c r="P30" s="102"/>
      <c r="Q30" s="102"/>
      <c r="R30" s="102"/>
      <c r="S30" s="102"/>
      <c r="T30" s="102"/>
    </row>
    <row r="31" spans="1:56" x14ac:dyDescent="0.25">
      <c r="A31" s="167"/>
      <c r="B31" s="167"/>
      <c r="C31" s="167"/>
      <c r="D31" s="167"/>
      <c r="E31" s="167"/>
      <c r="L31" s="102"/>
      <c r="M31" s="102"/>
      <c r="N31" s="102"/>
      <c r="O31" s="102"/>
      <c r="P31" s="102"/>
      <c r="Q31" s="102"/>
      <c r="R31" s="102"/>
      <c r="S31" s="102"/>
      <c r="T31" s="102"/>
    </row>
    <row r="32" spans="1:56" x14ac:dyDescent="0.25">
      <c r="L32" s="102"/>
      <c r="M32" s="102"/>
      <c r="N32" s="102"/>
      <c r="O32" s="102"/>
      <c r="P32" s="102"/>
      <c r="Q32" s="102"/>
      <c r="R32" s="102"/>
      <c r="S32" s="102"/>
      <c r="T32" s="102"/>
    </row>
    <row r="33" spans="12:20" x14ac:dyDescent="0.25">
      <c r="L33" s="102"/>
      <c r="M33" s="102"/>
      <c r="N33" s="102"/>
      <c r="O33" s="102"/>
      <c r="P33" s="102"/>
      <c r="Q33" s="102"/>
      <c r="R33" s="102"/>
      <c r="S33" s="102"/>
      <c r="T33" s="102"/>
    </row>
    <row r="34" spans="12:20" x14ac:dyDescent="0.25">
      <c r="L34" s="102"/>
      <c r="M34" s="102"/>
      <c r="N34" s="102"/>
      <c r="O34" s="102"/>
      <c r="P34" s="102"/>
      <c r="Q34" s="102"/>
      <c r="R34" s="102"/>
      <c r="S34" s="102"/>
      <c r="T34" s="102"/>
    </row>
    <row r="35" spans="12:20" x14ac:dyDescent="0.25">
      <c r="L35" s="102"/>
      <c r="M35" s="102"/>
      <c r="N35" s="102"/>
      <c r="O35" s="102"/>
      <c r="P35" s="102"/>
      <c r="Q35" s="102"/>
      <c r="R35" s="102"/>
      <c r="S35" s="102"/>
      <c r="T35" s="102"/>
    </row>
    <row r="36" spans="12:20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2:20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2:20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2:20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2:20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2:20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2:20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2:20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2:20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2:20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2:20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2:20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2:20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22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BD166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44340</v>
      </c>
      <c r="I1" s="180">
        <f>E1</f>
        <v>44340</v>
      </c>
      <c r="J1" s="1">
        <f t="shared" ref="J1:M1" si="0">I1+7</f>
        <v>44347</v>
      </c>
      <c r="K1" s="1">
        <f t="shared" si="0"/>
        <v>44354</v>
      </c>
      <c r="L1" s="1">
        <f t="shared" si="0"/>
        <v>44361</v>
      </c>
      <c r="M1" s="1">
        <f t="shared" si="0"/>
        <v>44368</v>
      </c>
      <c r="N1" s="1">
        <f>M1+7</f>
        <v>44375</v>
      </c>
      <c r="O1" s="1">
        <f>N1+7</f>
        <v>44382</v>
      </c>
      <c r="P1" s="1">
        <f>O1+7</f>
        <v>44389</v>
      </c>
      <c r="Q1" s="1">
        <f t="shared" ref="Q1:BD1" si="1">P1+7</f>
        <v>44396</v>
      </c>
      <c r="R1" s="1">
        <f t="shared" si="1"/>
        <v>44403</v>
      </c>
      <c r="S1" s="1">
        <f t="shared" si="1"/>
        <v>44410</v>
      </c>
      <c r="T1" s="1">
        <f t="shared" si="1"/>
        <v>44417</v>
      </c>
      <c r="U1" s="1">
        <f t="shared" si="1"/>
        <v>44424</v>
      </c>
      <c r="V1" s="1">
        <f t="shared" si="1"/>
        <v>44431</v>
      </c>
      <c r="W1" s="1">
        <f t="shared" si="1"/>
        <v>44438</v>
      </c>
      <c r="X1" s="1">
        <f t="shared" si="1"/>
        <v>44445</v>
      </c>
      <c r="Y1" s="1">
        <f t="shared" si="1"/>
        <v>44452</v>
      </c>
      <c r="Z1" s="1">
        <f t="shared" si="1"/>
        <v>44459</v>
      </c>
      <c r="AA1" s="1">
        <f t="shared" si="1"/>
        <v>44466</v>
      </c>
      <c r="AB1" s="1">
        <f t="shared" si="1"/>
        <v>44473</v>
      </c>
      <c r="AC1" s="1">
        <f t="shared" si="1"/>
        <v>44480</v>
      </c>
      <c r="AD1" s="1">
        <f t="shared" si="1"/>
        <v>44487</v>
      </c>
      <c r="AE1" s="1">
        <f t="shared" si="1"/>
        <v>44494</v>
      </c>
      <c r="AF1" s="1">
        <f t="shared" si="1"/>
        <v>44501</v>
      </c>
      <c r="AG1" s="1">
        <f t="shared" si="1"/>
        <v>44508</v>
      </c>
      <c r="AH1" s="1">
        <f t="shared" si="1"/>
        <v>44515</v>
      </c>
      <c r="AI1" s="1">
        <f t="shared" si="1"/>
        <v>44522</v>
      </c>
      <c r="AJ1" s="1">
        <f t="shared" si="1"/>
        <v>44529</v>
      </c>
      <c r="AK1" s="1">
        <f t="shared" si="1"/>
        <v>44536</v>
      </c>
      <c r="AL1" s="1">
        <f t="shared" si="1"/>
        <v>44543</v>
      </c>
      <c r="AM1" s="1">
        <f t="shared" si="1"/>
        <v>44550</v>
      </c>
      <c r="AN1" s="1">
        <f t="shared" si="1"/>
        <v>44557</v>
      </c>
      <c r="AO1" s="1">
        <f t="shared" si="1"/>
        <v>44564</v>
      </c>
      <c r="AP1" s="1">
        <f t="shared" si="1"/>
        <v>44571</v>
      </c>
      <c r="AQ1" s="1">
        <f t="shared" si="1"/>
        <v>44578</v>
      </c>
      <c r="AR1" s="1">
        <f t="shared" si="1"/>
        <v>44585</v>
      </c>
      <c r="AS1" s="1">
        <f t="shared" si="1"/>
        <v>44592</v>
      </c>
      <c r="AT1" s="1">
        <f t="shared" si="1"/>
        <v>44599</v>
      </c>
      <c r="AU1" s="1">
        <f t="shared" si="1"/>
        <v>44606</v>
      </c>
      <c r="AV1" s="1">
        <f t="shared" si="1"/>
        <v>44613</v>
      </c>
      <c r="AW1" s="1">
        <f t="shared" si="1"/>
        <v>44620</v>
      </c>
      <c r="AX1" s="1">
        <f t="shared" si="1"/>
        <v>44627</v>
      </c>
      <c r="AY1" s="1">
        <f t="shared" si="1"/>
        <v>44634</v>
      </c>
      <c r="AZ1" s="1">
        <f t="shared" si="1"/>
        <v>44641</v>
      </c>
      <c r="BA1" s="1">
        <f t="shared" si="1"/>
        <v>44648</v>
      </c>
      <c r="BB1" s="1">
        <f t="shared" si="1"/>
        <v>44655</v>
      </c>
      <c r="BC1" s="1">
        <f t="shared" si="1"/>
        <v>44662</v>
      </c>
      <c r="BD1" s="1">
        <f t="shared" si="1"/>
        <v>44669</v>
      </c>
    </row>
    <row r="2" spans="1:56" ht="61.5" x14ac:dyDescent="0.25">
      <c r="I2" s="2">
        <f t="shared" ref="I2:M2" si="2">I1+6</f>
        <v>44346</v>
      </c>
      <c r="J2" s="2">
        <f t="shared" si="2"/>
        <v>44353</v>
      </c>
      <c r="K2" s="2">
        <f t="shared" si="2"/>
        <v>44360</v>
      </c>
      <c r="L2" s="2">
        <f t="shared" si="2"/>
        <v>44367</v>
      </c>
      <c r="M2" s="2">
        <f t="shared" si="2"/>
        <v>44374</v>
      </c>
      <c r="N2" s="2">
        <f>N1+6</f>
        <v>44381</v>
      </c>
      <c r="O2" s="2">
        <f>O1+6</f>
        <v>44388</v>
      </c>
      <c r="P2" s="2">
        <f>P1+6</f>
        <v>44395</v>
      </c>
      <c r="Q2" s="2">
        <f t="shared" ref="Q2:BD2" si="3">Q1+6</f>
        <v>44402</v>
      </c>
      <c r="R2" s="2">
        <f t="shared" si="3"/>
        <v>44409</v>
      </c>
      <c r="S2" s="2">
        <f t="shared" si="3"/>
        <v>44416</v>
      </c>
      <c r="T2" s="2">
        <f t="shared" si="3"/>
        <v>44423</v>
      </c>
      <c r="U2" s="2">
        <f t="shared" si="3"/>
        <v>44430</v>
      </c>
      <c r="V2" s="2">
        <f t="shared" si="3"/>
        <v>44437</v>
      </c>
      <c r="W2" s="2">
        <f t="shared" si="3"/>
        <v>44444</v>
      </c>
      <c r="X2" s="2">
        <f t="shared" si="3"/>
        <v>44451</v>
      </c>
      <c r="Y2" s="2">
        <f t="shared" si="3"/>
        <v>44458</v>
      </c>
      <c r="Z2" s="2">
        <f t="shared" si="3"/>
        <v>44465</v>
      </c>
      <c r="AA2" s="2">
        <f t="shared" si="3"/>
        <v>44472</v>
      </c>
      <c r="AB2" s="2">
        <f t="shared" si="3"/>
        <v>44479</v>
      </c>
      <c r="AC2" s="2">
        <f t="shared" si="3"/>
        <v>44486</v>
      </c>
      <c r="AD2" s="2">
        <f t="shared" si="3"/>
        <v>44493</v>
      </c>
      <c r="AE2" s="2">
        <f t="shared" si="3"/>
        <v>44500</v>
      </c>
      <c r="AF2" s="2">
        <f t="shared" si="3"/>
        <v>44507</v>
      </c>
      <c r="AG2" s="2">
        <f t="shared" si="3"/>
        <v>44514</v>
      </c>
      <c r="AH2" s="2">
        <f t="shared" si="3"/>
        <v>44521</v>
      </c>
      <c r="AI2" s="2">
        <f t="shared" si="3"/>
        <v>44528</v>
      </c>
      <c r="AJ2" s="2">
        <f t="shared" si="3"/>
        <v>44535</v>
      </c>
      <c r="AK2" s="2">
        <f t="shared" si="3"/>
        <v>44542</v>
      </c>
      <c r="AL2" s="2">
        <f t="shared" si="3"/>
        <v>44549</v>
      </c>
      <c r="AM2" s="2">
        <f t="shared" si="3"/>
        <v>44556</v>
      </c>
      <c r="AN2" s="2">
        <f t="shared" si="3"/>
        <v>44563</v>
      </c>
      <c r="AO2" s="2">
        <f t="shared" si="3"/>
        <v>44570</v>
      </c>
      <c r="AP2" s="2">
        <f t="shared" si="3"/>
        <v>44577</v>
      </c>
      <c r="AQ2" s="2">
        <f t="shared" si="3"/>
        <v>44584</v>
      </c>
      <c r="AR2" s="2">
        <f t="shared" si="3"/>
        <v>44591</v>
      </c>
      <c r="AS2" s="2">
        <f t="shared" si="3"/>
        <v>44598</v>
      </c>
      <c r="AT2" s="2">
        <f t="shared" si="3"/>
        <v>44605</v>
      </c>
      <c r="AU2" s="2">
        <f t="shared" si="3"/>
        <v>44612</v>
      </c>
      <c r="AV2" s="2">
        <f t="shared" si="3"/>
        <v>44619</v>
      </c>
      <c r="AW2" s="2">
        <f t="shared" si="3"/>
        <v>44626</v>
      </c>
      <c r="AX2" s="2">
        <f t="shared" si="3"/>
        <v>44633</v>
      </c>
      <c r="AY2" s="2">
        <f t="shared" si="3"/>
        <v>44640</v>
      </c>
      <c r="AZ2" s="2">
        <f t="shared" si="3"/>
        <v>44647</v>
      </c>
      <c r="BA2" s="2">
        <f t="shared" si="3"/>
        <v>44654</v>
      </c>
      <c r="BB2" s="2">
        <f t="shared" si="3"/>
        <v>44661</v>
      </c>
      <c r="BC2" s="2">
        <f t="shared" si="3"/>
        <v>44668</v>
      </c>
      <c r="BD2" s="2">
        <f t="shared" si="3"/>
        <v>44675</v>
      </c>
    </row>
    <row r="3" spans="1:56" x14ac:dyDescent="0.25">
      <c r="I3">
        <f>SUM(Tableau137[s1])</f>
        <v>20</v>
      </c>
      <c r="J3">
        <f>SUM(Tableau137[s2])</f>
        <v>0</v>
      </c>
      <c r="K3">
        <f>SUM(Tableau137[s3])</f>
        <v>0</v>
      </c>
      <c r="L3" s="102">
        <f>SUM(Tableau137[s4])</f>
        <v>0</v>
      </c>
      <c r="M3" s="102">
        <f>SUM(Tableau137[s5])</f>
        <v>0</v>
      </c>
      <c r="N3" s="102">
        <f>SUM(Tableau137[s6])</f>
        <v>0</v>
      </c>
      <c r="O3" s="102">
        <f>SUM(Tableau137[s7])</f>
        <v>0</v>
      </c>
      <c r="P3" s="102">
        <f>SUM(Tableau137[s8])</f>
        <v>0</v>
      </c>
      <c r="Q3" s="102">
        <f>SUM(Tableau137[s9])</f>
        <v>0</v>
      </c>
      <c r="R3" s="102">
        <f>SUM(Tableau137[s10])</f>
        <v>0</v>
      </c>
      <c r="S3" s="102">
        <f>SUM(Tableau137[s11])</f>
        <v>0</v>
      </c>
      <c r="T3" s="102">
        <f>SUM(Tableau137[s12])</f>
        <v>0</v>
      </c>
      <c r="U3">
        <f>SUM(Tableau137[s13])</f>
        <v>0</v>
      </c>
      <c r="V3">
        <f>SUM(Tableau137[s14])</f>
        <v>0</v>
      </c>
      <c r="W3" s="134">
        <f>SUM(Tableau137[s15])</f>
        <v>0</v>
      </c>
      <c r="X3">
        <f>SUM(Tableau137[s16])</f>
        <v>0</v>
      </c>
      <c r="Y3">
        <f>SUM(Tableau137[s17])</f>
        <v>0</v>
      </c>
      <c r="Z3">
        <f>SUM(Tableau137[s18])</f>
        <v>0</v>
      </c>
      <c r="AA3">
        <f>SUM(Tableau137[s19])</f>
        <v>0</v>
      </c>
      <c r="AB3">
        <f>SUM(Tableau137[s20])</f>
        <v>0</v>
      </c>
      <c r="AC3">
        <f>SUM(Tableau137[s21])</f>
        <v>0</v>
      </c>
      <c r="AD3">
        <f>SUM(Tableau137[s22])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7" t="s">
        <v>43</v>
      </c>
      <c r="B5" s="146">
        <v>1</v>
      </c>
      <c r="C5" s="146" t="s">
        <v>111</v>
      </c>
      <c r="D5" s="147">
        <v>30</v>
      </c>
      <c r="E5" s="165" t="s">
        <v>212</v>
      </c>
      <c r="F5" s="27">
        <f>Tableau137[[#This Row],[durée]]-Tableau137[[#This Row],[Total]]</f>
        <v>26</v>
      </c>
      <c r="G5" s="27">
        <f>Tableau137[[#This Row],[durée]]*80%</f>
        <v>24</v>
      </c>
      <c r="H5" s="28">
        <f>SUM(Tableau137[[#This Row],[s1]:[s22]])</f>
        <v>4</v>
      </c>
      <c r="I5" s="31">
        <v>4</v>
      </c>
      <c r="J5" s="31"/>
      <c r="K5" s="172"/>
      <c r="L5" s="33"/>
      <c r="M5" s="33"/>
      <c r="N5" s="33"/>
      <c r="O5" s="33"/>
      <c r="P5" s="33"/>
      <c r="Q5" s="33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31"/>
      <c r="AE5" s="168"/>
      <c r="AF5" s="31"/>
      <c r="AG5" s="31"/>
      <c r="AH5" s="33"/>
      <c r="AI5" s="33"/>
      <c r="AJ5" s="33"/>
      <c r="AK5" s="33"/>
      <c r="AL5" s="33"/>
      <c r="AM5" s="33"/>
      <c r="AN5" s="33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</row>
    <row r="6" spans="1:56" x14ac:dyDescent="0.25">
      <c r="A6" s="17" t="s">
        <v>43</v>
      </c>
      <c r="B6" s="146">
        <v>1</v>
      </c>
      <c r="C6" s="146" t="s">
        <v>111</v>
      </c>
      <c r="D6" s="147">
        <v>30</v>
      </c>
      <c r="E6" s="104" t="s">
        <v>212</v>
      </c>
      <c r="F6" s="27">
        <f>Tableau137[[#This Row],[durée]]-Tableau137[[#This Row],[Total]]</f>
        <v>26</v>
      </c>
      <c r="G6" s="27">
        <f>Tableau137[[#This Row],[durée]]*80%</f>
        <v>24</v>
      </c>
      <c r="H6" s="28">
        <f>SUM(Tableau137[[#This Row],[s1]:[s22]])</f>
        <v>4</v>
      </c>
      <c r="I6" s="89">
        <v>4</v>
      </c>
      <c r="J6" s="89"/>
      <c r="K6" s="89"/>
      <c r="L6" s="89"/>
      <c r="M6" s="89"/>
      <c r="N6" s="89"/>
      <c r="O6" s="89"/>
      <c r="P6" s="89"/>
      <c r="Q6" s="92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70"/>
      <c r="AF6" s="171"/>
      <c r="AG6" s="171"/>
      <c r="AH6" s="178"/>
      <c r="AI6" s="178"/>
      <c r="AJ6" s="178"/>
      <c r="AK6" s="178"/>
      <c r="AL6" s="178"/>
      <c r="AM6" s="178"/>
      <c r="AN6" s="178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</row>
    <row r="7" spans="1:56" x14ac:dyDescent="0.25">
      <c r="A7" s="17" t="s">
        <v>43</v>
      </c>
      <c r="B7" s="146">
        <v>1</v>
      </c>
      <c r="C7" s="146" t="s">
        <v>111</v>
      </c>
      <c r="D7" s="147">
        <v>30</v>
      </c>
      <c r="E7" s="104" t="s">
        <v>212</v>
      </c>
      <c r="F7" s="27">
        <f>Tableau137[[#This Row],[durée]]-Tableau137[[#This Row],[Total]]</f>
        <v>26</v>
      </c>
      <c r="G7" s="27">
        <f>Tableau137[[#This Row],[durée]]*80%</f>
        <v>24</v>
      </c>
      <c r="H7" s="28">
        <f>SUM(Tableau137[[#This Row],[s1]:[s22]])</f>
        <v>4</v>
      </c>
      <c r="I7" s="89">
        <v>4</v>
      </c>
      <c r="J7" s="89"/>
      <c r="K7" s="188"/>
      <c r="L7" s="89"/>
      <c r="M7" s="89"/>
      <c r="N7" s="89"/>
      <c r="O7" s="89"/>
      <c r="P7" s="89"/>
      <c r="Q7" s="89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31"/>
      <c r="AE7" s="168"/>
      <c r="AF7" s="31"/>
      <c r="AG7" s="31"/>
      <c r="AH7" s="33"/>
      <c r="AI7" s="33"/>
      <c r="AJ7" s="33"/>
      <c r="AK7" s="33"/>
      <c r="AL7" s="33"/>
      <c r="AM7" s="33"/>
      <c r="AN7" s="33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7" t="s">
        <v>43</v>
      </c>
      <c r="B8" s="146">
        <v>1</v>
      </c>
      <c r="C8" s="146" t="s">
        <v>111</v>
      </c>
      <c r="D8" s="147">
        <v>30</v>
      </c>
      <c r="E8" s="104" t="s">
        <v>50</v>
      </c>
      <c r="F8" s="27">
        <f>Tableau137[[#This Row],[durée]]-Tableau137[[#This Row],[Total]]</f>
        <v>26</v>
      </c>
      <c r="G8" s="27">
        <f>Tableau137[[#This Row],[durée]]*80%</f>
        <v>24</v>
      </c>
      <c r="H8" s="28">
        <f>SUM(Tableau137[[#This Row],[s1]:[s22]])</f>
        <v>4</v>
      </c>
      <c r="I8" s="89">
        <v>4</v>
      </c>
      <c r="J8" s="89"/>
      <c r="K8" s="188"/>
      <c r="L8" s="89"/>
      <c r="M8" s="89"/>
      <c r="N8" s="89"/>
      <c r="O8" s="89"/>
      <c r="P8" s="89"/>
      <c r="Q8" s="89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31"/>
      <c r="AE8" s="168"/>
      <c r="AF8" s="31"/>
      <c r="AG8" s="31"/>
      <c r="AH8" s="33"/>
      <c r="AI8" s="33"/>
      <c r="AJ8" s="33"/>
      <c r="AK8" s="33"/>
      <c r="AL8" s="33"/>
      <c r="AM8" s="33"/>
      <c r="AN8" s="33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7" t="s">
        <v>43</v>
      </c>
      <c r="B9" s="146">
        <v>1</v>
      </c>
      <c r="C9" s="146" t="s">
        <v>111</v>
      </c>
      <c r="D9" s="147">
        <v>30</v>
      </c>
      <c r="E9" s="104" t="s">
        <v>50</v>
      </c>
      <c r="F9" s="27">
        <f>Tableau137[[#This Row],[durée]]-Tableau137[[#This Row],[Total]]</f>
        <v>26</v>
      </c>
      <c r="G9" s="27">
        <f>Tableau137[[#This Row],[durée]]*80%</f>
        <v>24</v>
      </c>
      <c r="H9" s="28">
        <f>SUM(Tableau137[[#This Row],[s1]:[s22]])</f>
        <v>4</v>
      </c>
      <c r="I9" s="89">
        <v>4</v>
      </c>
      <c r="J9" s="89"/>
      <c r="K9" s="188"/>
      <c r="L9" s="89"/>
      <c r="M9" s="89"/>
      <c r="N9" s="89"/>
      <c r="O9" s="89"/>
      <c r="P9" s="89"/>
      <c r="Q9" s="89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31"/>
      <c r="AE9" s="168"/>
      <c r="AF9" s="31"/>
      <c r="AG9" s="31"/>
      <c r="AH9" s="33"/>
      <c r="AI9" s="33"/>
      <c r="AJ9" s="33"/>
      <c r="AK9" s="33"/>
      <c r="AL9" s="33"/>
      <c r="AM9" s="33"/>
      <c r="AN9" s="33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7" t="s">
        <v>43</v>
      </c>
      <c r="B10" s="146">
        <v>2</v>
      </c>
      <c r="C10" s="146" t="s">
        <v>100</v>
      </c>
      <c r="D10" s="147">
        <v>30</v>
      </c>
      <c r="E10" s="165"/>
      <c r="F10" s="27">
        <f>Tableau137[[#This Row],[durée]]-Tableau137[[#This Row],[Total]]</f>
        <v>30</v>
      </c>
      <c r="G10" s="27">
        <f>Tableau137[[#This Row],[durée]]*80%</f>
        <v>24</v>
      </c>
      <c r="H10" s="28">
        <f>SUM(Tableau137[[#This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3"/>
      <c r="AI10" s="33"/>
      <c r="AJ10" s="33"/>
      <c r="AK10" s="33"/>
      <c r="AL10" s="33"/>
      <c r="AM10" s="33"/>
      <c r="AN10" s="33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7" t="s">
        <v>43</v>
      </c>
      <c r="B11" s="146">
        <v>3</v>
      </c>
      <c r="C11" s="146" t="s">
        <v>112</v>
      </c>
      <c r="D11" s="147">
        <v>45</v>
      </c>
      <c r="E11" s="165"/>
      <c r="F11" s="27">
        <f>Tableau137[[#This Row],[durée]]-Tableau137[[#This Row],[Total]]</f>
        <v>45</v>
      </c>
      <c r="G11" s="27">
        <f>Tableau137[[#This Row],[durée]]*80%</f>
        <v>36</v>
      </c>
      <c r="H11" s="28">
        <f>SUM(Tableau137[[#This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7" t="s">
        <v>43</v>
      </c>
      <c r="B12" s="146">
        <v>4</v>
      </c>
      <c r="C12" s="146" t="s">
        <v>113</v>
      </c>
      <c r="D12" s="147">
        <v>60</v>
      </c>
      <c r="E12" s="165"/>
      <c r="F12" s="27">
        <f>Tableau137[[#This Row],[durée]]-Tableau137[[#This Row],[Total]]</f>
        <v>60</v>
      </c>
      <c r="G12" s="27">
        <f>Tableau137[[#This Row],[durée]]*80%</f>
        <v>48</v>
      </c>
      <c r="H12" s="28">
        <f>SUM(Tableau137[[#This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7" t="s">
        <v>43</v>
      </c>
      <c r="B13" s="146">
        <v>5</v>
      </c>
      <c r="C13" s="146" t="s">
        <v>114</v>
      </c>
      <c r="D13" s="147">
        <v>30</v>
      </c>
      <c r="E13" s="165"/>
      <c r="F13" s="27">
        <f>Tableau137[[#This Row],[durée]]-Tableau137[[#This Row],[Total]]</f>
        <v>30</v>
      </c>
      <c r="G13" s="27">
        <f>Tableau137[[#This Row],[durée]]*80%</f>
        <v>24</v>
      </c>
      <c r="H13" s="28">
        <f>SUM(Tableau137[[#This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7" t="s">
        <v>43</v>
      </c>
      <c r="B14" s="146">
        <v>6</v>
      </c>
      <c r="C14" s="146" t="s">
        <v>115</v>
      </c>
      <c r="D14" s="147">
        <v>45</v>
      </c>
      <c r="E14" s="165"/>
      <c r="F14" s="27">
        <f>Tableau137[[#This Row],[durée]]-Tableau137[[#This Row],[Total]]</f>
        <v>45</v>
      </c>
      <c r="G14" s="27">
        <f>Tableau137[[#This Row],[durée]]*80%</f>
        <v>36</v>
      </c>
      <c r="H14" s="28">
        <f>SUM(Tableau137[[#This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7" t="s">
        <v>43</v>
      </c>
      <c r="B15" s="146">
        <v>7</v>
      </c>
      <c r="C15" s="146" t="s">
        <v>116</v>
      </c>
      <c r="D15" s="147">
        <v>120</v>
      </c>
      <c r="E15" s="165"/>
      <c r="F15" s="27">
        <f>Tableau137[[#This Row],[durée]]-Tableau137[[#This Row],[Total]]</f>
        <v>120</v>
      </c>
      <c r="G15" s="27">
        <f>Tableau137[[#This Row],[durée]]*80%</f>
        <v>96</v>
      </c>
      <c r="H15" s="28">
        <f>SUM(Tableau137[[#This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7" t="s">
        <v>43</v>
      </c>
      <c r="B16" s="146">
        <v>8</v>
      </c>
      <c r="C16" s="146" t="s">
        <v>117</v>
      </c>
      <c r="D16" s="147">
        <v>60</v>
      </c>
      <c r="E16" s="165"/>
      <c r="F16" s="27">
        <f>Tableau137[[#This Row],[durée]]-Tableau137[[#This Row],[Total]]</f>
        <v>60</v>
      </c>
      <c r="G16" s="27">
        <f>Tableau137[[#This Row],[durée]]*80%</f>
        <v>48</v>
      </c>
      <c r="H16" s="28">
        <f>SUM(Tableau137[[#This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7" t="s">
        <v>43</v>
      </c>
      <c r="B17" s="146">
        <v>9</v>
      </c>
      <c r="C17" s="146" t="s">
        <v>118</v>
      </c>
      <c r="D17" s="147">
        <v>45</v>
      </c>
      <c r="E17" s="165"/>
      <c r="F17" s="27">
        <f>Tableau137[[#This Row],[durée]]-Tableau137[[#This Row],[Total]]</f>
        <v>45</v>
      </c>
      <c r="G17" s="27">
        <f>Tableau137[[#This Row],[durée]]*80%</f>
        <v>36</v>
      </c>
      <c r="H17" s="28">
        <f>SUM(Tableau137[[#This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7" t="s">
        <v>43</v>
      </c>
      <c r="B18" s="146">
        <v>10</v>
      </c>
      <c r="C18" s="146" t="s">
        <v>119</v>
      </c>
      <c r="D18" s="147">
        <v>15</v>
      </c>
      <c r="E18" s="165"/>
      <c r="F18" s="27">
        <f>Tableau137[[#This Row],[durée]]-Tableau137[[#This Row],[Total]]</f>
        <v>15</v>
      </c>
      <c r="G18" s="27">
        <f>Tableau137[[#This Row],[durée]]*80%</f>
        <v>12</v>
      </c>
      <c r="H18" s="28">
        <f>SUM(Tableau137[[#This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7" t="s">
        <v>43</v>
      </c>
      <c r="B19" s="146">
        <v>11</v>
      </c>
      <c r="C19" s="146" t="s">
        <v>120</v>
      </c>
      <c r="D19" s="147">
        <v>45</v>
      </c>
      <c r="E19" s="165"/>
      <c r="F19" s="27">
        <f>Tableau137[[#This Row],[durée]]-Tableau137[[#This Row],[Total]]</f>
        <v>45</v>
      </c>
      <c r="G19" s="27">
        <f>Tableau137[[#This Row],[durée]]*80%</f>
        <v>36</v>
      </c>
      <c r="H19" s="28">
        <f>SUM(Tableau137[[#This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7" t="s">
        <v>43</v>
      </c>
      <c r="B20" s="146">
        <v>12</v>
      </c>
      <c r="C20" s="146" t="s">
        <v>121</v>
      </c>
      <c r="D20" s="147">
        <v>45</v>
      </c>
      <c r="E20" s="165"/>
      <c r="F20" s="27">
        <f>Tableau137[[#This Row],[durée]]-Tableau137[[#This Row],[Total]]</f>
        <v>45</v>
      </c>
      <c r="G20" s="27">
        <f>Tableau137[[#This Row],[durée]]*80%</f>
        <v>36</v>
      </c>
      <c r="H20" s="28">
        <f>SUM(Tableau137[[#This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7" t="s">
        <v>43</v>
      </c>
      <c r="B21" s="146">
        <v>13</v>
      </c>
      <c r="C21" s="146" t="s">
        <v>122</v>
      </c>
      <c r="D21" s="147">
        <v>30</v>
      </c>
      <c r="E21" s="165"/>
      <c r="F21" s="27">
        <f>Tableau137[[#This Row],[durée]]-Tableau137[[#This Row],[Total]]</f>
        <v>30</v>
      </c>
      <c r="G21" s="27">
        <f>Tableau137[[#This Row],[durée]]*80%</f>
        <v>24</v>
      </c>
      <c r="H21" s="28">
        <f>SUM(Tableau137[[#This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7" t="s">
        <v>43</v>
      </c>
      <c r="B22" s="146">
        <v>14</v>
      </c>
      <c r="C22" s="146" t="s">
        <v>54</v>
      </c>
      <c r="D22" s="147">
        <v>45</v>
      </c>
      <c r="E22" s="165"/>
      <c r="F22" s="27">
        <f>Tableau137[[#This Row],[durée]]-Tableau137[[#This Row],[Total]]</f>
        <v>45</v>
      </c>
      <c r="G22" s="27">
        <f>Tableau137[[#This Row],[durée]]*80%</f>
        <v>36</v>
      </c>
      <c r="H22" s="28">
        <f>SUM(Tableau137[[#This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</row>
    <row r="23" spans="1:56" x14ac:dyDescent="0.25">
      <c r="A23" s="17" t="s">
        <v>43</v>
      </c>
      <c r="B23" s="146">
        <v>15</v>
      </c>
      <c r="C23" s="146" t="s">
        <v>123</v>
      </c>
      <c r="D23" s="147">
        <v>30</v>
      </c>
      <c r="E23" s="165"/>
      <c r="F23" s="27">
        <f>Tableau137[[#This Row],[durée]]-Tableau137[[#This Row],[Total]]</f>
        <v>30</v>
      </c>
      <c r="G23" s="27">
        <f>Tableau137[[#This Row],[durée]]*80%</f>
        <v>24</v>
      </c>
      <c r="H23" s="28">
        <f>SUM(Tableau137[[#This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169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7" t="s">
        <v>43</v>
      </c>
      <c r="B24" s="146">
        <v>16</v>
      </c>
      <c r="C24" s="146" t="s">
        <v>124</v>
      </c>
      <c r="D24" s="147">
        <v>60</v>
      </c>
      <c r="E24" s="165"/>
      <c r="F24" s="27">
        <f>Tableau137[[#This Row],[durée]]-Tableau137[[#This Row],[Total]]</f>
        <v>60</v>
      </c>
      <c r="G24" s="27">
        <f>Tableau137[[#This Row],[durée]]*80%</f>
        <v>48</v>
      </c>
      <c r="H24" s="28">
        <f>SUM(Tableau137[[#This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169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7" t="s">
        <v>43</v>
      </c>
      <c r="B25" s="146">
        <v>17</v>
      </c>
      <c r="C25" s="146" t="s">
        <v>125</v>
      </c>
      <c r="D25" s="147">
        <v>60</v>
      </c>
      <c r="E25" s="165"/>
      <c r="F25" s="27">
        <f>Tableau137[[#This Row],[durée]]-Tableau137[[#This Row],[Total]]</f>
        <v>60</v>
      </c>
      <c r="G25" s="27">
        <f>Tableau137[[#This Row],[durée]]*80%</f>
        <v>48</v>
      </c>
      <c r="H25" s="28">
        <f>SUM(Tableau137[[#This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169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7" t="s">
        <v>43</v>
      </c>
      <c r="B26" s="146">
        <v>18</v>
      </c>
      <c r="C26" s="146" t="s">
        <v>126</v>
      </c>
      <c r="D26" s="147">
        <v>15</v>
      </c>
      <c r="E26" s="104"/>
      <c r="F26" s="27">
        <f>Tableau137[[#This Row],[durée]]-Tableau137[[#This Row],[Total]]</f>
        <v>15</v>
      </c>
      <c r="G26" s="27">
        <f>Tableau137[[#This Row],[durée]]*80%</f>
        <v>12</v>
      </c>
      <c r="H26" s="28">
        <f>SUM(Tableau137[[#This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169"/>
      <c r="AE26" s="168"/>
      <c r="AF26" s="31"/>
      <c r="AG26" s="31"/>
      <c r="AH26" s="31"/>
      <c r="AI26" s="31"/>
      <c r="AJ26" s="31"/>
      <c r="AK26" s="31"/>
      <c r="AL26" s="31"/>
      <c r="AM26" s="3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32"/>
      <c r="AY26" s="32"/>
      <c r="AZ26" s="32"/>
      <c r="BA26" s="32"/>
      <c r="BB26" s="32"/>
      <c r="BC26" s="32"/>
      <c r="BD26" s="32"/>
    </row>
    <row r="27" spans="1:56" x14ac:dyDescent="0.25">
      <c r="A27" s="181" t="s">
        <v>43</v>
      </c>
      <c r="B27" s="182">
        <v>19</v>
      </c>
      <c r="C27" s="182" t="s">
        <v>127</v>
      </c>
      <c r="D27" s="147">
        <v>320</v>
      </c>
      <c r="E27" s="165"/>
      <c r="F27" s="27">
        <f>Tableau137[[#This Row],[durée]]-Tableau137[[#This Row],[Total]]</f>
        <v>320</v>
      </c>
      <c r="G27" s="27">
        <f>Tableau137[[#This Row],[durée]]*80%</f>
        <v>256</v>
      </c>
      <c r="H27" s="28">
        <f>SUM(Tableau137[[#This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1" t="s">
        <v>43</v>
      </c>
      <c r="B28" s="182">
        <v>20</v>
      </c>
      <c r="C28" s="182" t="s">
        <v>57</v>
      </c>
      <c r="D28" s="147">
        <v>30</v>
      </c>
      <c r="E28" s="165"/>
      <c r="F28" s="27">
        <f>Tableau137[[#This Row],[durée]]-Tableau137[[#This Row],[Total]]</f>
        <v>30</v>
      </c>
      <c r="G28" s="27">
        <f>Tableau137[[#This Row],[durée]]*80%</f>
        <v>24</v>
      </c>
      <c r="H28" s="28">
        <f>SUM(Tableau137[[#This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1" t="s">
        <v>43</v>
      </c>
      <c r="B29" s="182">
        <v>21</v>
      </c>
      <c r="C29" s="182" t="s">
        <v>108</v>
      </c>
      <c r="D29" s="147">
        <v>30</v>
      </c>
      <c r="E29" s="165"/>
      <c r="F29" s="27">
        <f>Tableau137[[#This Row],[durée]]-Tableau137[[#This Row],[Total]]</f>
        <v>30</v>
      </c>
      <c r="G29" s="27">
        <f>Tableau137[[#This Row],[durée]]*80%</f>
        <v>24</v>
      </c>
      <c r="H29" s="28">
        <f>SUM(Tableau137[[#This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1" t="s">
        <v>43</v>
      </c>
      <c r="B30" s="182">
        <v>22</v>
      </c>
      <c r="C30" s="182" t="s">
        <v>58</v>
      </c>
      <c r="D30" s="147">
        <v>20</v>
      </c>
      <c r="E30" s="165"/>
      <c r="F30" s="27">
        <f>Tableau137[[#This Row],[durée]]-Tableau137[[#This Row],[Total]]</f>
        <v>20</v>
      </c>
      <c r="G30" s="27">
        <f>Tableau137[[#This Row],[durée]]*80%</f>
        <v>16</v>
      </c>
      <c r="H30" s="28">
        <f>SUM(Tableau137[[#This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1" t="s">
        <v>43</v>
      </c>
      <c r="B31" s="182">
        <v>23</v>
      </c>
      <c r="C31" s="182" t="s">
        <v>109</v>
      </c>
      <c r="D31" s="147">
        <v>10</v>
      </c>
      <c r="E31" s="165"/>
      <c r="F31" s="27">
        <f>Tableau137[[#This Row],[durée]]-Tableau137[[#This Row],[Total]]</f>
        <v>10</v>
      </c>
      <c r="G31" s="27">
        <f>Tableau137[[#This Row],[durée]]*80%</f>
        <v>8</v>
      </c>
      <c r="H31" s="28">
        <f>SUM(Tableau137[[#This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1" t="s">
        <v>43</v>
      </c>
      <c r="B32" s="182">
        <v>24</v>
      </c>
      <c r="C32" s="182" t="s">
        <v>128</v>
      </c>
      <c r="D32" s="147">
        <v>10</v>
      </c>
      <c r="E32" s="165"/>
      <c r="F32" s="27">
        <f>Tableau137[[#This Row],[durée]]-Tableau137[[#This Row],[Total]]</f>
        <v>10</v>
      </c>
      <c r="G32" s="27">
        <f>Tableau137[[#This Row],[durée]]*80%</f>
        <v>8</v>
      </c>
      <c r="H32" s="28">
        <f>SUM(Tableau137[[#This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1" t="s">
        <v>43</v>
      </c>
      <c r="B33" s="182">
        <v>25</v>
      </c>
      <c r="C33" s="182" t="s">
        <v>129</v>
      </c>
      <c r="D33" s="147">
        <v>10</v>
      </c>
      <c r="E33" s="165"/>
      <c r="F33" s="27">
        <f>Tableau137[[#This Row],[durée]]-Tableau137[[#This Row],[Total]]</f>
        <v>10</v>
      </c>
      <c r="G33" s="27">
        <f>Tableau137[[#This Row],[durée]]*80%</f>
        <v>8</v>
      </c>
      <c r="H33" s="28">
        <f>SUM(Tableau137[[#This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1" t="s">
        <v>43</v>
      </c>
      <c r="B34" s="182">
        <v>26</v>
      </c>
      <c r="C34" s="182" t="s">
        <v>6</v>
      </c>
      <c r="D34" s="147">
        <v>40</v>
      </c>
      <c r="E34" s="165"/>
      <c r="F34" s="27">
        <f>Tableau137[[#This Row],[durée]]-Tableau137[[#This Row],[Total]]</f>
        <v>40</v>
      </c>
      <c r="G34" s="27">
        <f>Tableau137[[#This Row],[durée]]*80%</f>
        <v>32</v>
      </c>
      <c r="H34" s="28">
        <f>SUM(Tableau137[[#This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1" t="s">
        <v>43</v>
      </c>
      <c r="B35" s="182">
        <v>27</v>
      </c>
      <c r="C35" s="182" t="s">
        <v>7</v>
      </c>
      <c r="D35" s="147">
        <v>21</v>
      </c>
      <c r="E35" s="165"/>
      <c r="F35" s="27">
        <f>Tableau137[[#This Row],[durée]]-Tableau137[[#This Row],[Total]]</f>
        <v>21</v>
      </c>
      <c r="G35" s="27">
        <f>Tableau137[[#This Row],[durée]]*80%</f>
        <v>16.8</v>
      </c>
      <c r="H35" s="28">
        <f>SUM(Tableau137[[#This Row],[s1]:[s22]])</f>
        <v>0</v>
      </c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83" t="s">
        <v>43</v>
      </c>
      <c r="B36" s="184">
        <v>28</v>
      </c>
      <c r="C36" s="184" t="s">
        <v>110</v>
      </c>
      <c r="D36" s="155">
        <v>20</v>
      </c>
      <c r="E36" s="185"/>
      <c r="F36" s="29">
        <f>Tableau137[[#This Row],[durée]]-Tableau137[[#This Row],[Total]]</f>
        <v>20</v>
      </c>
      <c r="G36" s="29">
        <f>Tableau137[[#This Row],[durée]]*80%</f>
        <v>16</v>
      </c>
      <c r="H36" s="30">
        <f>SUM(Tableau137[[#This Row],[s1]:[s22]])</f>
        <v>0</v>
      </c>
      <c r="I36" s="32"/>
      <c r="J36" s="32"/>
      <c r="K36" s="186"/>
      <c r="L36" s="156"/>
      <c r="M36" s="156"/>
      <c r="N36" s="156"/>
      <c r="O36" s="156"/>
      <c r="P36" s="156"/>
      <c r="Q36" s="156"/>
      <c r="R36" s="156"/>
      <c r="S36" s="156"/>
      <c r="T36" s="156"/>
      <c r="U36" s="32"/>
      <c r="V36" s="32"/>
      <c r="W36" s="187"/>
      <c r="X36" s="32"/>
      <c r="Y36" s="32"/>
      <c r="Z36" s="32"/>
      <c r="AA36" s="32"/>
      <c r="AB36" s="32"/>
      <c r="AC36" s="32"/>
      <c r="AD36" s="32"/>
      <c r="AE36" s="187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</row>
    <row r="37" spans="1:56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hidden="1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hidden="1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  <row r="163" spans="12:20" x14ac:dyDescent="0.25">
      <c r="L163" s="102"/>
      <c r="M163" s="102"/>
      <c r="N163" s="102"/>
      <c r="O163" s="102"/>
      <c r="P163" s="102"/>
      <c r="Q163" s="102"/>
      <c r="R163" s="102"/>
      <c r="S163" s="102"/>
      <c r="T163" s="102"/>
    </row>
    <row r="164" spans="12:20" x14ac:dyDescent="0.25">
      <c r="L164" s="102"/>
      <c r="M164" s="102"/>
      <c r="N164" s="102"/>
      <c r="O164" s="102"/>
      <c r="P164" s="102"/>
      <c r="Q164" s="102"/>
      <c r="R164" s="102"/>
      <c r="S164" s="102"/>
      <c r="T164" s="102"/>
    </row>
    <row r="165" spans="12:20" x14ac:dyDescent="0.25">
      <c r="L165" s="102"/>
      <c r="M165" s="102"/>
      <c r="N165" s="102"/>
      <c r="O165" s="102"/>
      <c r="P165" s="102"/>
      <c r="Q165" s="102"/>
      <c r="R165" s="102"/>
      <c r="S165" s="102"/>
      <c r="T165" s="102"/>
    </row>
    <row r="166" spans="12:20" x14ac:dyDescent="0.25">
      <c r="L166" s="102"/>
      <c r="M166" s="102"/>
      <c r="N166" s="102"/>
      <c r="O166" s="102"/>
      <c r="P166" s="102"/>
      <c r="Q166" s="102"/>
      <c r="R166" s="102"/>
      <c r="S166" s="102"/>
      <c r="T166" s="102"/>
    </row>
  </sheetData>
  <dataValidations count="1">
    <dataValidation type="list" allowBlank="1" showInputMessage="1" showErrorMessage="1" sqref="E5:E36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BD166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44340</v>
      </c>
      <c r="I1" s="180">
        <f>E1</f>
        <v>44340</v>
      </c>
      <c r="J1" s="1">
        <f t="shared" ref="J1:M1" si="0">I1+7</f>
        <v>44347</v>
      </c>
      <c r="K1" s="1">
        <f t="shared" si="0"/>
        <v>44354</v>
      </c>
      <c r="L1" s="1">
        <f t="shared" si="0"/>
        <v>44361</v>
      </c>
      <c r="M1" s="1">
        <f t="shared" si="0"/>
        <v>44368</v>
      </c>
      <c r="N1" s="1">
        <f>M1+7</f>
        <v>44375</v>
      </c>
      <c r="O1" s="1">
        <f>N1+7</f>
        <v>44382</v>
      </c>
      <c r="P1" s="1">
        <f>O1+7</f>
        <v>44389</v>
      </c>
      <c r="Q1" s="1">
        <f t="shared" ref="Q1:BD1" si="1">P1+7</f>
        <v>44396</v>
      </c>
      <c r="R1" s="1">
        <f t="shared" si="1"/>
        <v>44403</v>
      </c>
      <c r="S1" s="1">
        <f t="shared" si="1"/>
        <v>44410</v>
      </c>
      <c r="T1" s="1">
        <f t="shared" si="1"/>
        <v>44417</v>
      </c>
      <c r="U1" s="1">
        <f t="shared" si="1"/>
        <v>44424</v>
      </c>
      <c r="V1" s="1">
        <f t="shared" si="1"/>
        <v>44431</v>
      </c>
      <c r="W1" s="1">
        <f t="shared" si="1"/>
        <v>44438</v>
      </c>
      <c r="X1" s="1">
        <f t="shared" si="1"/>
        <v>44445</v>
      </c>
      <c r="Y1" s="1">
        <f t="shared" si="1"/>
        <v>44452</v>
      </c>
      <c r="Z1" s="1">
        <f t="shared" si="1"/>
        <v>44459</v>
      </c>
      <c r="AA1" s="1">
        <f t="shared" si="1"/>
        <v>44466</v>
      </c>
      <c r="AB1" s="1">
        <f t="shared" si="1"/>
        <v>44473</v>
      </c>
      <c r="AC1" s="1">
        <f t="shared" si="1"/>
        <v>44480</v>
      </c>
      <c r="AD1" s="1">
        <f t="shared" si="1"/>
        <v>44487</v>
      </c>
      <c r="AE1" s="1">
        <f t="shared" si="1"/>
        <v>44494</v>
      </c>
      <c r="AF1" s="1">
        <f t="shared" si="1"/>
        <v>44501</v>
      </c>
      <c r="AG1" s="1">
        <f t="shared" si="1"/>
        <v>44508</v>
      </c>
      <c r="AH1" s="1">
        <f t="shared" si="1"/>
        <v>44515</v>
      </c>
      <c r="AI1" s="1">
        <f t="shared" si="1"/>
        <v>44522</v>
      </c>
      <c r="AJ1" s="1">
        <f t="shared" si="1"/>
        <v>44529</v>
      </c>
      <c r="AK1" s="1">
        <f t="shared" si="1"/>
        <v>44536</v>
      </c>
      <c r="AL1" s="1">
        <f t="shared" si="1"/>
        <v>44543</v>
      </c>
      <c r="AM1" s="1">
        <f t="shared" si="1"/>
        <v>44550</v>
      </c>
      <c r="AN1" s="1">
        <f t="shared" si="1"/>
        <v>44557</v>
      </c>
      <c r="AO1" s="1">
        <f t="shared" si="1"/>
        <v>44564</v>
      </c>
      <c r="AP1" s="1">
        <f t="shared" si="1"/>
        <v>44571</v>
      </c>
      <c r="AQ1" s="1">
        <f t="shared" si="1"/>
        <v>44578</v>
      </c>
      <c r="AR1" s="1">
        <f t="shared" si="1"/>
        <v>44585</v>
      </c>
      <c r="AS1" s="1">
        <f t="shared" si="1"/>
        <v>44592</v>
      </c>
      <c r="AT1" s="1">
        <f t="shared" si="1"/>
        <v>44599</v>
      </c>
      <c r="AU1" s="1">
        <f t="shared" si="1"/>
        <v>44606</v>
      </c>
      <c r="AV1" s="1">
        <f t="shared" si="1"/>
        <v>44613</v>
      </c>
      <c r="AW1" s="1">
        <f t="shared" si="1"/>
        <v>44620</v>
      </c>
      <c r="AX1" s="1">
        <f t="shared" si="1"/>
        <v>44627</v>
      </c>
      <c r="AY1" s="1">
        <f t="shared" si="1"/>
        <v>44634</v>
      </c>
      <c r="AZ1" s="1">
        <f t="shared" si="1"/>
        <v>44641</v>
      </c>
      <c r="BA1" s="1">
        <f t="shared" si="1"/>
        <v>44648</v>
      </c>
      <c r="BB1" s="1">
        <f t="shared" si="1"/>
        <v>44655</v>
      </c>
      <c r="BC1" s="1">
        <f t="shared" si="1"/>
        <v>44662</v>
      </c>
      <c r="BD1" s="1">
        <f t="shared" si="1"/>
        <v>44669</v>
      </c>
    </row>
    <row r="2" spans="1:56" ht="61.5" x14ac:dyDescent="0.25">
      <c r="I2" s="2">
        <f t="shared" ref="I2:M2" si="2">I1+6</f>
        <v>44346</v>
      </c>
      <c r="J2" s="2">
        <f t="shared" si="2"/>
        <v>44353</v>
      </c>
      <c r="K2" s="2">
        <f t="shared" si="2"/>
        <v>44360</v>
      </c>
      <c r="L2" s="2">
        <f t="shared" si="2"/>
        <v>44367</v>
      </c>
      <c r="M2" s="2">
        <f t="shared" si="2"/>
        <v>44374</v>
      </c>
      <c r="N2" s="2">
        <f>N1+6</f>
        <v>44381</v>
      </c>
      <c r="O2" s="2">
        <f>O1+6</f>
        <v>44388</v>
      </c>
      <c r="P2" s="2">
        <f>P1+6</f>
        <v>44395</v>
      </c>
      <c r="Q2" s="2">
        <f t="shared" ref="Q2:BD2" si="3">Q1+6</f>
        <v>44402</v>
      </c>
      <c r="R2" s="2">
        <f t="shared" si="3"/>
        <v>44409</v>
      </c>
      <c r="S2" s="2">
        <f t="shared" si="3"/>
        <v>44416</v>
      </c>
      <c r="T2" s="2">
        <f t="shared" si="3"/>
        <v>44423</v>
      </c>
      <c r="U2" s="2">
        <f t="shared" si="3"/>
        <v>44430</v>
      </c>
      <c r="V2" s="2">
        <f t="shared" si="3"/>
        <v>44437</v>
      </c>
      <c r="W2" s="2">
        <f t="shared" si="3"/>
        <v>44444</v>
      </c>
      <c r="X2" s="2">
        <f t="shared" si="3"/>
        <v>44451</v>
      </c>
      <c r="Y2" s="2">
        <f t="shared" si="3"/>
        <v>44458</v>
      </c>
      <c r="Z2" s="2">
        <f t="shared" si="3"/>
        <v>44465</v>
      </c>
      <c r="AA2" s="2">
        <f t="shared" si="3"/>
        <v>44472</v>
      </c>
      <c r="AB2" s="2">
        <f t="shared" si="3"/>
        <v>44479</v>
      </c>
      <c r="AC2" s="2">
        <f t="shared" si="3"/>
        <v>44486</v>
      </c>
      <c r="AD2" s="2">
        <f t="shared" si="3"/>
        <v>44493</v>
      </c>
      <c r="AE2" s="2">
        <f t="shared" si="3"/>
        <v>44500</v>
      </c>
      <c r="AF2" s="2">
        <f t="shared" si="3"/>
        <v>44507</v>
      </c>
      <c r="AG2" s="2">
        <f t="shared" si="3"/>
        <v>44514</v>
      </c>
      <c r="AH2" s="2">
        <f t="shared" si="3"/>
        <v>44521</v>
      </c>
      <c r="AI2" s="2">
        <f t="shared" si="3"/>
        <v>44528</v>
      </c>
      <c r="AJ2" s="2">
        <f t="shared" si="3"/>
        <v>44535</v>
      </c>
      <c r="AK2" s="2">
        <f t="shared" si="3"/>
        <v>44542</v>
      </c>
      <c r="AL2" s="2">
        <f t="shared" si="3"/>
        <v>44549</v>
      </c>
      <c r="AM2" s="2">
        <f t="shared" si="3"/>
        <v>44556</v>
      </c>
      <c r="AN2" s="2">
        <f t="shared" si="3"/>
        <v>44563</v>
      </c>
      <c r="AO2" s="2">
        <f t="shared" si="3"/>
        <v>44570</v>
      </c>
      <c r="AP2" s="2">
        <f t="shared" si="3"/>
        <v>44577</v>
      </c>
      <c r="AQ2" s="2">
        <f t="shared" si="3"/>
        <v>44584</v>
      </c>
      <c r="AR2" s="2">
        <f t="shared" si="3"/>
        <v>44591</v>
      </c>
      <c r="AS2" s="2">
        <f t="shared" si="3"/>
        <v>44598</v>
      </c>
      <c r="AT2" s="2">
        <f t="shared" si="3"/>
        <v>44605</v>
      </c>
      <c r="AU2" s="2">
        <f t="shared" si="3"/>
        <v>44612</v>
      </c>
      <c r="AV2" s="2">
        <f t="shared" si="3"/>
        <v>44619</v>
      </c>
      <c r="AW2" s="2">
        <f t="shared" si="3"/>
        <v>44626</v>
      </c>
      <c r="AX2" s="2">
        <f t="shared" si="3"/>
        <v>44633</v>
      </c>
      <c r="AY2" s="2">
        <f t="shared" si="3"/>
        <v>44640</v>
      </c>
      <c r="AZ2" s="2">
        <f t="shared" si="3"/>
        <v>44647</v>
      </c>
      <c r="BA2" s="2">
        <f t="shared" si="3"/>
        <v>44654</v>
      </c>
      <c r="BB2" s="2">
        <f t="shared" si="3"/>
        <v>44661</v>
      </c>
      <c r="BC2" s="2">
        <f t="shared" si="3"/>
        <v>44668</v>
      </c>
      <c r="BD2" s="2">
        <f t="shared" si="3"/>
        <v>44675</v>
      </c>
    </row>
    <row r="3" spans="1:56" x14ac:dyDescent="0.25">
      <c r="I3">
        <f>SUM(Tableau138[s1])</f>
        <v>20</v>
      </c>
      <c r="J3">
        <f>SUM(Tableau138[s2])</f>
        <v>0</v>
      </c>
      <c r="K3">
        <f>SUM(Tableau138[s3])</f>
        <v>0</v>
      </c>
      <c r="L3" s="102">
        <f>SUM(Tableau138[s4])</f>
        <v>0</v>
      </c>
      <c r="M3" s="102">
        <f>SUM(Tableau138[s5])</f>
        <v>0</v>
      </c>
      <c r="N3" s="102">
        <f>SUM(Tableau138[s6])</f>
        <v>0</v>
      </c>
      <c r="O3" s="102">
        <f>SUM(Tableau138[s7])</f>
        <v>0</v>
      </c>
      <c r="P3" s="102">
        <f>SUM(Tableau138[s8])</f>
        <v>0</v>
      </c>
      <c r="Q3" s="102">
        <f>SUM(Tableau138[s9])</f>
        <v>0</v>
      </c>
      <c r="R3" s="102">
        <f>SUM(Tableau138[s10])</f>
        <v>0</v>
      </c>
      <c r="S3" s="102">
        <f>SUM(Tableau138[s11])</f>
        <v>0</v>
      </c>
      <c r="T3" s="102">
        <f>SUM(Tableau138[s12])</f>
        <v>0</v>
      </c>
      <c r="U3">
        <f>SUM(Tableau138[s13])</f>
        <v>0</v>
      </c>
      <c r="V3">
        <f>SUM(Tableau138[s14])</f>
        <v>0</v>
      </c>
      <c r="W3" s="134">
        <f>SUM(Tableau138[s15])</f>
        <v>0</v>
      </c>
      <c r="X3">
        <f>SUM(Tableau138[s16])</f>
        <v>0</v>
      </c>
      <c r="Y3">
        <f>SUM(Tableau138[s17])</f>
        <v>0</v>
      </c>
      <c r="Z3">
        <f>SUM(Tableau138[s18])</f>
        <v>0</v>
      </c>
      <c r="AA3">
        <f>SUM(Tableau138[s19])</f>
        <v>0</v>
      </c>
      <c r="AB3">
        <f>SUM(Tableau138[s20])</f>
        <v>0</v>
      </c>
      <c r="AC3">
        <f>SUM(Tableau138[s21])</f>
        <v>0</v>
      </c>
      <c r="AD3">
        <f>SUM(Tableau138[s22])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46" t="s">
        <v>44</v>
      </c>
      <c r="B5" s="89">
        <v>1</v>
      </c>
      <c r="C5" s="104" t="s">
        <v>131</v>
      </c>
      <c r="D5" s="90">
        <v>30</v>
      </c>
      <c r="E5" s="165" t="s">
        <v>50</v>
      </c>
      <c r="F5" s="27">
        <f>Tableau138[[#This Row],[durée]]-Tableau138[[#This Row],[Total]]</f>
        <v>26</v>
      </c>
      <c r="G5" s="27">
        <f>Tableau138[[#This Row],[durée]]*80%</f>
        <v>24</v>
      </c>
      <c r="H5" s="28">
        <f>SUM(Tableau138[[#This Row],[s1]:[s22]])</f>
        <v>4</v>
      </c>
      <c r="I5" s="31">
        <v>4</v>
      </c>
      <c r="J5" s="31"/>
      <c r="K5" s="172"/>
      <c r="L5" s="33"/>
      <c r="M5" s="33"/>
      <c r="N5" s="33"/>
      <c r="O5" s="33"/>
      <c r="P5" s="33"/>
      <c r="Q5" s="33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31"/>
      <c r="AE5" s="168"/>
      <c r="AF5" s="31"/>
      <c r="AG5" s="31"/>
      <c r="AH5" s="33"/>
      <c r="AI5" s="33"/>
      <c r="AJ5" s="33"/>
      <c r="AK5" s="33"/>
      <c r="AL5" s="33"/>
      <c r="AM5" s="33"/>
      <c r="AN5" s="33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</row>
    <row r="6" spans="1:56" x14ac:dyDescent="0.25">
      <c r="A6" s="146" t="s">
        <v>44</v>
      </c>
      <c r="B6" s="89">
        <v>1</v>
      </c>
      <c r="C6" s="104" t="s">
        <v>131</v>
      </c>
      <c r="D6" s="90">
        <v>30</v>
      </c>
      <c r="E6" s="165" t="s">
        <v>212</v>
      </c>
      <c r="F6" s="27">
        <f>Tableau138[[#This Row],[durée]]-Tableau138[[#This Row],[Total]]</f>
        <v>26</v>
      </c>
      <c r="G6" s="27">
        <f>Tableau138[[#This Row],[durée]]*80%</f>
        <v>24</v>
      </c>
      <c r="H6" s="28">
        <f>SUM(Tableau138[[#This Row],[s1]:[s22]])</f>
        <v>4</v>
      </c>
      <c r="I6" s="31">
        <v>4</v>
      </c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31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46" t="s">
        <v>44</v>
      </c>
      <c r="B7" s="89">
        <v>1</v>
      </c>
      <c r="C7" s="104" t="s">
        <v>131</v>
      </c>
      <c r="D7" s="90">
        <v>30</v>
      </c>
      <c r="E7" s="104" t="s">
        <v>212</v>
      </c>
      <c r="F7" s="27">
        <f>Tableau138[[#This Row],[durée]]-Tableau138[[#This Row],[Total]]</f>
        <v>26</v>
      </c>
      <c r="G7" s="27">
        <f>Tableau138[[#This Row],[durée]]*80%</f>
        <v>24</v>
      </c>
      <c r="H7" s="28">
        <f>SUM(Tableau138[[#This Row],[s1]:[s22]])</f>
        <v>4</v>
      </c>
      <c r="I7" s="31">
        <v>4</v>
      </c>
      <c r="J7" s="89"/>
      <c r="K7" s="89"/>
      <c r="L7" s="89"/>
      <c r="M7" s="89"/>
      <c r="N7" s="89"/>
      <c r="O7" s="89"/>
      <c r="P7" s="89"/>
      <c r="Q7" s="92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70"/>
      <c r="AF7" s="171"/>
      <c r="AG7" s="171"/>
      <c r="AH7" s="178"/>
      <c r="AI7" s="178"/>
      <c r="AJ7" s="178"/>
      <c r="AK7" s="178"/>
      <c r="AL7" s="178"/>
      <c r="AM7" s="178"/>
      <c r="AN7" s="178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</row>
    <row r="8" spans="1:56" x14ac:dyDescent="0.25">
      <c r="A8" s="146" t="s">
        <v>44</v>
      </c>
      <c r="B8" s="89">
        <v>1</v>
      </c>
      <c r="C8" s="104" t="s">
        <v>131</v>
      </c>
      <c r="D8" s="90">
        <v>30</v>
      </c>
      <c r="E8" s="104" t="s">
        <v>212</v>
      </c>
      <c r="F8" s="27">
        <f>Tableau138[[#This Row],[durée]]-Tableau138[[#This Row],[Total]]</f>
        <v>26</v>
      </c>
      <c r="G8" s="27">
        <f>Tableau138[[#This Row],[durée]]*80%</f>
        <v>24</v>
      </c>
      <c r="H8" s="28">
        <f>SUM(Tableau138[[#This Row],[s1]:[s22]])</f>
        <v>4</v>
      </c>
      <c r="I8" s="31">
        <v>4</v>
      </c>
      <c r="J8" s="89"/>
      <c r="K8" s="188"/>
      <c r="L8" s="89"/>
      <c r="M8" s="89"/>
      <c r="N8" s="89"/>
      <c r="O8" s="89"/>
      <c r="P8" s="89"/>
      <c r="Q8" s="89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31"/>
      <c r="AE8" s="168"/>
      <c r="AF8" s="31"/>
      <c r="AG8" s="31"/>
      <c r="AH8" s="33"/>
      <c r="AI8" s="33"/>
      <c r="AJ8" s="33"/>
      <c r="AK8" s="33"/>
      <c r="AL8" s="33"/>
      <c r="AM8" s="33"/>
      <c r="AN8" s="33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46" t="s">
        <v>44</v>
      </c>
      <c r="B9" s="89">
        <v>1</v>
      </c>
      <c r="C9" s="104" t="s">
        <v>131</v>
      </c>
      <c r="D9" s="90">
        <v>30</v>
      </c>
      <c r="E9" s="104" t="s">
        <v>50</v>
      </c>
      <c r="F9" s="27">
        <f>Tableau138[[#This Row],[durée]]-Tableau138[[#This Row],[Total]]</f>
        <v>26</v>
      </c>
      <c r="G9" s="27">
        <f>Tableau138[[#This Row],[durée]]*80%</f>
        <v>24</v>
      </c>
      <c r="H9" s="28">
        <f>SUM(Tableau138[[#This Row],[s1]:[s22]])</f>
        <v>4</v>
      </c>
      <c r="I9" s="31">
        <v>4</v>
      </c>
      <c r="J9" s="89"/>
      <c r="K9" s="188"/>
      <c r="L9" s="89"/>
      <c r="M9" s="89"/>
      <c r="N9" s="89"/>
      <c r="O9" s="89"/>
      <c r="P9" s="89"/>
      <c r="Q9" s="89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31"/>
      <c r="AE9" s="168"/>
      <c r="AF9" s="31"/>
      <c r="AG9" s="31"/>
      <c r="AH9" s="33"/>
      <c r="AI9" s="33"/>
      <c r="AJ9" s="33"/>
      <c r="AK9" s="33"/>
      <c r="AL9" s="33"/>
      <c r="AM9" s="33"/>
      <c r="AN9" s="33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46" t="s">
        <v>44</v>
      </c>
      <c r="B10" s="89">
        <v>2</v>
      </c>
      <c r="C10" s="104" t="s">
        <v>132</v>
      </c>
      <c r="D10" s="90">
        <v>30</v>
      </c>
      <c r="E10" s="165"/>
      <c r="F10" s="27">
        <f>Tableau138[[#This Row],[durée]]-Tableau138[[#This Row],[Total]]</f>
        <v>30</v>
      </c>
      <c r="G10" s="27">
        <f>Tableau138[[#This Row],[durée]]*80%</f>
        <v>24</v>
      </c>
      <c r="H10" s="28">
        <f>SUM(Tableau138[[#This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3"/>
      <c r="AI10" s="33"/>
      <c r="AJ10" s="33"/>
      <c r="AK10" s="33"/>
      <c r="AL10" s="33"/>
      <c r="AM10" s="33"/>
      <c r="AN10" s="33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46" t="s">
        <v>44</v>
      </c>
      <c r="B11" s="89">
        <v>3</v>
      </c>
      <c r="C11" s="104" t="s">
        <v>133</v>
      </c>
      <c r="D11" s="90">
        <v>30</v>
      </c>
      <c r="E11" s="165"/>
      <c r="F11" s="27">
        <f>Tableau138[[#This Row],[durée]]-Tableau138[[#This Row],[Total]]</f>
        <v>30</v>
      </c>
      <c r="G11" s="27">
        <f>Tableau138[[#This Row],[durée]]*80%</f>
        <v>24</v>
      </c>
      <c r="H11" s="28">
        <f>SUM(Tableau138[[#This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46" t="s">
        <v>44</v>
      </c>
      <c r="B12" s="89">
        <v>4</v>
      </c>
      <c r="C12" s="104" t="s">
        <v>134</v>
      </c>
      <c r="D12" s="90">
        <v>45</v>
      </c>
      <c r="E12" s="165"/>
      <c r="F12" s="27">
        <f>Tableau138[[#This Row],[durée]]-Tableau138[[#This Row],[Total]]</f>
        <v>45</v>
      </c>
      <c r="G12" s="27">
        <f>Tableau138[[#This Row],[durée]]*80%</f>
        <v>36</v>
      </c>
      <c r="H12" s="28">
        <f>SUM(Tableau138[[#This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46" t="s">
        <v>44</v>
      </c>
      <c r="B13" s="89">
        <v>5</v>
      </c>
      <c r="C13" s="104" t="s">
        <v>135</v>
      </c>
      <c r="D13" s="90">
        <v>75</v>
      </c>
      <c r="E13" s="165"/>
      <c r="F13" s="27">
        <f>Tableau138[[#This Row],[durée]]-Tableau138[[#This Row],[Total]]</f>
        <v>75</v>
      </c>
      <c r="G13" s="27">
        <f>Tableau138[[#This Row],[durée]]*80%</f>
        <v>60</v>
      </c>
      <c r="H13" s="28">
        <f>SUM(Tableau138[[#This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46" t="s">
        <v>44</v>
      </c>
      <c r="B14" s="89">
        <v>6</v>
      </c>
      <c r="C14" s="104" t="s">
        <v>136</v>
      </c>
      <c r="D14" s="90">
        <v>30</v>
      </c>
      <c r="E14" s="165"/>
      <c r="F14" s="27">
        <f>Tableau138[[#This Row],[durée]]-Tableau138[[#This Row],[Total]]</f>
        <v>30</v>
      </c>
      <c r="G14" s="27">
        <f>Tableau138[[#This Row],[durée]]*80%</f>
        <v>24</v>
      </c>
      <c r="H14" s="28">
        <f>SUM(Tableau138[[#This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46" t="s">
        <v>44</v>
      </c>
      <c r="B15" s="89">
        <v>7</v>
      </c>
      <c r="C15" s="104" t="s">
        <v>137</v>
      </c>
      <c r="D15" s="90">
        <v>30</v>
      </c>
      <c r="E15" s="165"/>
      <c r="F15" s="27">
        <f>Tableau138[[#This Row],[durée]]-Tableau138[[#This Row],[Total]]</f>
        <v>30</v>
      </c>
      <c r="G15" s="27">
        <f>Tableau138[[#This Row],[durée]]*80%</f>
        <v>24</v>
      </c>
      <c r="H15" s="28">
        <f>SUM(Tableau138[[#This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46" t="s">
        <v>44</v>
      </c>
      <c r="B16" s="89">
        <v>8</v>
      </c>
      <c r="C16" s="104" t="s">
        <v>138</v>
      </c>
      <c r="D16" s="90">
        <v>75</v>
      </c>
      <c r="E16" s="165"/>
      <c r="F16" s="27">
        <f>Tableau138[[#This Row],[durée]]-Tableau138[[#This Row],[Total]]</f>
        <v>75</v>
      </c>
      <c r="G16" s="27">
        <f>Tableau138[[#This Row],[durée]]*80%</f>
        <v>60</v>
      </c>
      <c r="H16" s="28">
        <f>SUM(Tableau138[[#This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46" t="s">
        <v>44</v>
      </c>
      <c r="B17" s="89">
        <v>9</v>
      </c>
      <c r="C17" s="105" t="s">
        <v>139</v>
      </c>
      <c r="D17" s="90">
        <v>60</v>
      </c>
      <c r="E17" s="165"/>
      <c r="F17" s="27">
        <f>Tableau138[[#This Row],[durée]]-Tableau138[[#This Row],[Total]]</f>
        <v>60</v>
      </c>
      <c r="G17" s="27">
        <f>Tableau138[[#This Row],[durée]]*80%</f>
        <v>48</v>
      </c>
      <c r="H17" s="28">
        <f>SUM(Tableau138[[#This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46" t="s">
        <v>44</v>
      </c>
      <c r="B18" s="89">
        <v>10</v>
      </c>
      <c r="C18" s="105" t="s">
        <v>140</v>
      </c>
      <c r="D18" s="90">
        <v>105</v>
      </c>
      <c r="E18" s="165"/>
      <c r="F18" s="27">
        <f>Tableau138[[#This Row],[durée]]-Tableau138[[#This Row],[Total]]</f>
        <v>105</v>
      </c>
      <c r="G18" s="27">
        <f>Tableau138[[#This Row],[durée]]*80%</f>
        <v>84</v>
      </c>
      <c r="H18" s="28">
        <f>SUM(Tableau138[[#This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46" t="s">
        <v>44</v>
      </c>
      <c r="B19" s="89">
        <v>11</v>
      </c>
      <c r="C19" s="104" t="s">
        <v>141</v>
      </c>
      <c r="D19" s="89">
        <v>15</v>
      </c>
      <c r="E19" s="165"/>
      <c r="F19" s="27">
        <f>Tableau138[[#This Row],[durée]]-Tableau138[[#This Row],[Total]]</f>
        <v>15</v>
      </c>
      <c r="G19" s="27">
        <f>Tableau138[[#This Row],[durée]]*80%</f>
        <v>12</v>
      </c>
      <c r="H19" s="28">
        <f>SUM(Tableau138[[#This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46" t="s">
        <v>44</v>
      </c>
      <c r="B20" s="89">
        <v>12</v>
      </c>
      <c r="C20" s="104" t="s">
        <v>142</v>
      </c>
      <c r="D20" s="89">
        <v>160</v>
      </c>
      <c r="E20" s="165"/>
      <c r="F20" s="27">
        <f>Tableau138[[#This Row],[durée]]-Tableau138[[#This Row],[Total]]</f>
        <v>160</v>
      </c>
      <c r="G20" s="27">
        <f>Tableau138[[#This Row],[durée]]*80%</f>
        <v>128</v>
      </c>
      <c r="H20" s="28">
        <f>SUM(Tableau138[[#This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46" t="s">
        <v>44</v>
      </c>
      <c r="B21" s="89">
        <v>13</v>
      </c>
      <c r="C21" s="104" t="s">
        <v>143</v>
      </c>
      <c r="D21" s="89">
        <v>75</v>
      </c>
      <c r="E21" s="165"/>
      <c r="F21" s="27">
        <f>Tableau138[[#This Row],[durée]]-Tableau138[[#This Row],[Total]]</f>
        <v>75</v>
      </c>
      <c r="G21" s="27">
        <f>Tableau138[[#This Row],[durée]]*80%</f>
        <v>60</v>
      </c>
      <c r="H21" s="28">
        <f>SUM(Tableau138[[#This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46" t="s">
        <v>44</v>
      </c>
      <c r="B22" s="89">
        <v>14</v>
      </c>
      <c r="C22" s="104" t="s">
        <v>144</v>
      </c>
      <c r="D22" s="89">
        <v>75</v>
      </c>
      <c r="E22" s="165"/>
      <c r="F22" s="27">
        <f>Tableau138[[#This Row],[durée]]-Tableau138[[#This Row],[Total]]</f>
        <v>75</v>
      </c>
      <c r="G22" s="27">
        <f>Tableau138[[#This Row],[durée]]*80%</f>
        <v>60</v>
      </c>
      <c r="H22" s="28">
        <f>SUM(Tableau138[[#This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</row>
    <row r="23" spans="1:56" x14ac:dyDescent="0.25">
      <c r="A23" s="146" t="s">
        <v>44</v>
      </c>
      <c r="B23" s="89">
        <v>15</v>
      </c>
      <c r="C23" s="104" t="s">
        <v>145</v>
      </c>
      <c r="D23" s="89">
        <v>30</v>
      </c>
      <c r="E23" s="165"/>
      <c r="F23" s="27">
        <f>Tableau138[[#This Row],[durée]]-Tableau138[[#This Row],[Total]]</f>
        <v>30</v>
      </c>
      <c r="G23" s="27">
        <f>Tableau138[[#This Row],[durée]]*80%</f>
        <v>24</v>
      </c>
      <c r="H23" s="28">
        <f>SUM(Tableau138[[#This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169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46" t="s">
        <v>44</v>
      </c>
      <c r="B24" s="89">
        <v>16</v>
      </c>
      <c r="C24" s="104" t="s">
        <v>146</v>
      </c>
      <c r="D24" s="89">
        <v>120</v>
      </c>
      <c r="E24" s="165"/>
      <c r="F24" s="27">
        <f>Tableau138[[#This Row],[durée]]-Tableau138[[#This Row],[Total]]</f>
        <v>120</v>
      </c>
      <c r="G24" s="27">
        <f>Tableau138[[#This Row],[durée]]*80%</f>
        <v>96</v>
      </c>
      <c r="H24" s="28">
        <f>SUM(Tableau138[[#This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169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46" t="s">
        <v>44</v>
      </c>
      <c r="B25" s="89">
        <v>17</v>
      </c>
      <c r="C25" s="104" t="s">
        <v>147</v>
      </c>
      <c r="D25" s="89">
        <v>15</v>
      </c>
      <c r="E25" s="165"/>
      <c r="F25" s="27">
        <f>Tableau138[[#This Row],[durée]]-Tableau138[[#This Row],[Total]]</f>
        <v>15</v>
      </c>
      <c r="G25" s="27">
        <f>Tableau138[[#This Row],[durée]]*80%</f>
        <v>12</v>
      </c>
      <c r="H25" s="28">
        <f>SUM(Tableau138[[#This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169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46" t="s">
        <v>44</v>
      </c>
      <c r="B26" s="89">
        <v>18</v>
      </c>
      <c r="C26" s="104" t="s">
        <v>148</v>
      </c>
      <c r="D26" s="89">
        <v>200</v>
      </c>
      <c r="E26" s="104"/>
      <c r="F26" s="27">
        <f>Tableau138[[#This Row],[durée]]-Tableau138[[#This Row],[Total]]</f>
        <v>200</v>
      </c>
      <c r="G26" s="27">
        <f>Tableau138[[#This Row],[durée]]*80%</f>
        <v>160</v>
      </c>
      <c r="H26" s="28">
        <f>SUM(Tableau138[[#This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169"/>
      <c r="AE26" s="168"/>
      <c r="AF26" s="31"/>
      <c r="AG26" s="31"/>
      <c r="AH26" s="31"/>
      <c r="AI26" s="31"/>
      <c r="AJ26" s="31"/>
      <c r="AK26" s="31"/>
      <c r="AL26" s="31"/>
      <c r="AM26" s="3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32"/>
      <c r="AY26" s="32"/>
      <c r="AZ26" s="32"/>
      <c r="BA26" s="32"/>
      <c r="BB26" s="32"/>
      <c r="BC26" s="32"/>
      <c r="BD26" s="32"/>
    </row>
    <row r="27" spans="1:56" x14ac:dyDescent="0.25">
      <c r="A27" s="182" t="s">
        <v>44</v>
      </c>
      <c r="B27" s="89">
        <v>19</v>
      </c>
      <c r="C27" s="104" t="s">
        <v>57</v>
      </c>
      <c r="D27" s="89">
        <v>30</v>
      </c>
      <c r="E27" s="165"/>
      <c r="F27" s="27">
        <f>Tableau138[[#This Row],[durée]]-Tableau138[[#This Row],[Total]]</f>
        <v>30</v>
      </c>
      <c r="G27" s="27">
        <f>Tableau138[[#This Row],[durée]]*80%</f>
        <v>24</v>
      </c>
      <c r="H27" s="28">
        <f>SUM(Tableau138[[#This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2" t="s">
        <v>44</v>
      </c>
      <c r="B28" s="89">
        <v>20</v>
      </c>
      <c r="C28" s="104" t="s">
        <v>108</v>
      </c>
      <c r="D28" s="89">
        <v>30</v>
      </c>
      <c r="E28" s="165"/>
      <c r="F28" s="27">
        <f>Tableau138[[#This Row],[durée]]-Tableau138[[#This Row],[Total]]</f>
        <v>30</v>
      </c>
      <c r="G28" s="27">
        <f>Tableau138[[#This Row],[durée]]*80%</f>
        <v>24</v>
      </c>
      <c r="H28" s="28">
        <f>SUM(Tableau138[[#This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2" t="s">
        <v>44</v>
      </c>
      <c r="B29" s="89">
        <v>21</v>
      </c>
      <c r="C29" s="104" t="s">
        <v>58</v>
      </c>
      <c r="D29" s="89">
        <v>20</v>
      </c>
      <c r="E29" s="165"/>
      <c r="F29" s="27">
        <f>Tableau138[[#This Row],[durée]]-Tableau138[[#This Row],[Total]]</f>
        <v>20</v>
      </c>
      <c r="G29" s="27">
        <f>Tableau138[[#This Row],[durée]]*80%</f>
        <v>16</v>
      </c>
      <c r="H29" s="28">
        <f>SUM(Tableau138[[#This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2" t="s">
        <v>44</v>
      </c>
      <c r="B30" s="89">
        <v>22</v>
      </c>
      <c r="C30" s="104" t="s">
        <v>109</v>
      </c>
      <c r="D30" s="89">
        <v>10</v>
      </c>
      <c r="E30" s="165"/>
      <c r="F30" s="27">
        <f>Tableau138[[#This Row],[durée]]-Tableau138[[#This Row],[Total]]</f>
        <v>10</v>
      </c>
      <c r="G30" s="27">
        <f>Tableau138[[#This Row],[durée]]*80%</f>
        <v>8</v>
      </c>
      <c r="H30" s="28">
        <f>SUM(Tableau138[[#This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2" t="s">
        <v>44</v>
      </c>
      <c r="B31" s="89">
        <v>23</v>
      </c>
      <c r="C31" s="104" t="s">
        <v>128</v>
      </c>
      <c r="D31" s="89">
        <v>10</v>
      </c>
      <c r="E31" s="165"/>
      <c r="F31" s="27">
        <f>Tableau138[[#This Row],[durée]]-Tableau138[[#This Row],[Total]]</f>
        <v>10</v>
      </c>
      <c r="G31" s="27">
        <f>Tableau138[[#This Row],[durée]]*80%</f>
        <v>8</v>
      </c>
      <c r="H31" s="28">
        <f>SUM(Tableau138[[#This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2" t="s">
        <v>44</v>
      </c>
      <c r="B32" s="89">
        <v>24</v>
      </c>
      <c r="C32" s="104" t="s">
        <v>129</v>
      </c>
      <c r="D32" s="89">
        <v>10</v>
      </c>
      <c r="E32" s="165"/>
      <c r="F32" s="27">
        <f>Tableau138[[#This Row],[durée]]-Tableau138[[#This Row],[Total]]</f>
        <v>10</v>
      </c>
      <c r="G32" s="27">
        <f>Tableau138[[#This Row],[durée]]*80%</f>
        <v>8</v>
      </c>
      <c r="H32" s="28">
        <f>SUM(Tableau138[[#This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2" t="s">
        <v>44</v>
      </c>
      <c r="B33" s="89">
        <v>25</v>
      </c>
      <c r="C33" s="104" t="s">
        <v>6</v>
      </c>
      <c r="D33" s="89">
        <v>40</v>
      </c>
      <c r="E33" s="165"/>
      <c r="F33" s="27">
        <f>Tableau138[[#This Row],[durée]]-Tableau138[[#This Row],[Total]]</f>
        <v>40</v>
      </c>
      <c r="G33" s="27">
        <f>Tableau138[[#This Row],[durée]]*80%</f>
        <v>32</v>
      </c>
      <c r="H33" s="28">
        <f>SUM(Tableau138[[#This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2" t="s">
        <v>44</v>
      </c>
      <c r="B34" s="89">
        <v>26</v>
      </c>
      <c r="C34" s="104" t="s">
        <v>7</v>
      </c>
      <c r="D34" s="89">
        <v>14</v>
      </c>
      <c r="E34" s="165"/>
      <c r="F34" s="27">
        <f>Tableau138[[#This Row],[durée]]-Tableau138[[#This Row],[Total]]</f>
        <v>14</v>
      </c>
      <c r="G34" s="27">
        <f>Tableau138[[#This Row],[durée]]*80%</f>
        <v>11.200000000000001</v>
      </c>
      <c r="H34" s="28">
        <f>SUM(Tableau138[[#This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4" t="s">
        <v>44</v>
      </c>
      <c r="B35" s="91">
        <v>27</v>
      </c>
      <c r="C35" s="106" t="s">
        <v>110</v>
      </c>
      <c r="D35" s="91">
        <v>20</v>
      </c>
      <c r="E35" s="185"/>
      <c r="F35" s="29">
        <f>Tableau138[[#This Row],[durée]]-Tableau138[[#This Row],[Total]]</f>
        <v>20</v>
      </c>
      <c r="G35" s="29">
        <f>Tableau138[[#This Row],[durée]]*80%</f>
        <v>16</v>
      </c>
      <c r="H35" s="30">
        <f>SUM(Tableau138[[#This Row],[s1]:[s22]])</f>
        <v>0</v>
      </c>
      <c r="I35" s="32"/>
      <c r="J35" s="32"/>
      <c r="K35" s="186"/>
      <c r="L35" s="156"/>
      <c r="M35" s="156"/>
      <c r="N35" s="156"/>
      <c r="O35" s="156"/>
      <c r="P35" s="156"/>
      <c r="Q35" s="156"/>
      <c r="R35" s="156"/>
      <c r="S35" s="156"/>
      <c r="T35" s="156"/>
      <c r="U35" s="32"/>
      <c r="V35" s="32"/>
      <c r="W35" s="187"/>
      <c r="X35" s="32"/>
      <c r="Y35" s="32"/>
      <c r="Z35" s="32"/>
      <c r="AA35" s="32"/>
      <c r="AB35" s="32"/>
      <c r="AC35" s="32"/>
      <c r="AD35" s="32"/>
      <c r="AE35" s="187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</row>
    <row r="36" spans="1:56" x14ac:dyDescent="0.25"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56" x14ac:dyDescent="0.25">
      <c r="L37" s="102"/>
      <c r="M37" s="102"/>
      <c r="N37" s="102"/>
      <c r="O37" s="102"/>
      <c r="P37" s="102"/>
      <c r="Q37" s="102"/>
      <c r="R37" s="102"/>
      <c r="S37" s="102"/>
      <c r="T37" s="10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hidden="1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hidden="1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hidden="1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hidden="1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  <row r="163" spans="12:20" x14ac:dyDescent="0.25">
      <c r="L163" s="102"/>
      <c r="M163" s="102"/>
      <c r="N163" s="102"/>
      <c r="O163" s="102"/>
      <c r="P163" s="102"/>
      <c r="Q163" s="102"/>
      <c r="R163" s="102"/>
      <c r="S163" s="102"/>
      <c r="T163" s="102"/>
    </row>
    <row r="164" spans="12:20" x14ac:dyDescent="0.25">
      <c r="L164" s="102"/>
      <c r="M164" s="102"/>
      <c r="N164" s="102"/>
      <c r="O164" s="102"/>
      <c r="P164" s="102"/>
      <c r="Q164" s="102"/>
      <c r="R164" s="102"/>
      <c r="S164" s="102"/>
      <c r="T164" s="102"/>
    </row>
    <row r="165" spans="12:20" x14ac:dyDescent="0.25">
      <c r="L165" s="102"/>
      <c r="M165" s="102"/>
      <c r="N165" s="102"/>
      <c r="O165" s="102"/>
      <c r="P165" s="102"/>
      <c r="Q165" s="102"/>
      <c r="R165" s="102"/>
      <c r="S165" s="102"/>
      <c r="T165" s="102"/>
    </row>
    <row r="166" spans="12:20" x14ac:dyDescent="0.25">
      <c r="L166" s="102"/>
      <c r="M166" s="102"/>
      <c r="N166" s="102"/>
      <c r="O166" s="102"/>
      <c r="P166" s="102"/>
      <c r="Q166" s="102"/>
      <c r="R166" s="102"/>
      <c r="S166" s="102"/>
      <c r="T166" s="102"/>
    </row>
  </sheetData>
  <dataValidations count="1">
    <dataValidation type="list" allowBlank="1" showInputMessage="1" showErrorMessage="1" sqref="E5:E35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210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SUM(Tableau1311[s1])</f>
        <v>0</v>
      </c>
      <c r="J3">
        <f>SUM(Tableau1311[s2])</f>
        <v>0</v>
      </c>
      <c r="K3">
        <f>SUM(Tableau1311[s3])</f>
        <v>0</v>
      </c>
      <c r="L3" s="102">
        <f>SUM(Tableau1311[s4])</f>
        <v>0</v>
      </c>
      <c r="M3" s="102">
        <f>SUM(Tableau1311[s5])</f>
        <v>0</v>
      </c>
      <c r="N3" s="102">
        <f>SUM(Tableau1311[s6])</f>
        <v>0</v>
      </c>
      <c r="O3" s="102">
        <f>SUM(Tableau1311[s7])</f>
        <v>0</v>
      </c>
      <c r="P3" s="102">
        <f>SUM(Tableau1311[s8])</f>
        <v>0</v>
      </c>
      <c r="Q3" s="102">
        <f>SUM(Tableau1311[s9])</f>
        <v>0</v>
      </c>
      <c r="R3" s="102">
        <f>SUM(Tableau1311[s10])</f>
        <v>0</v>
      </c>
      <c r="S3" s="102">
        <f>SUM(Tableau1311[s11])</f>
        <v>0</v>
      </c>
      <c r="T3" s="102">
        <f>SUM(Tableau1311[s12])</f>
        <v>0</v>
      </c>
      <c r="U3">
        <f>SUM(Tableau1311[s13])</f>
        <v>0</v>
      </c>
      <c r="V3">
        <f>SUM(Tableau1311[s14])</f>
        <v>0</v>
      </c>
      <c r="W3" s="134">
        <f>SUM(Tableau1311[s15])</f>
        <v>0</v>
      </c>
      <c r="X3">
        <f>SUM(Tableau1311[s16])</f>
        <v>0</v>
      </c>
      <c r="Y3">
        <f>SUM(Tableau1311[s17])</f>
        <v>0</v>
      </c>
      <c r="Z3">
        <f>SUM(Tableau1311[s18])</f>
        <v>0</v>
      </c>
      <c r="AA3">
        <f>SUM(Tableau1311[s19])</f>
        <v>0</v>
      </c>
      <c r="AB3">
        <f>SUM(Tableau1311[s20])</f>
        <v>0</v>
      </c>
      <c r="AC3">
        <f>SUM(Tableau1311[s21])</f>
        <v>0</v>
      </c>
      <c r="AD3">
        <f>SUM(Tableau1311[s22])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17" t="s">
        <v>83</v>
      </c>
      <c r="B5" s="17">
        <v>1</v>
      </c>
      <c r="C5" s="17" t="s">
        <v>176</v>
      </c>
      <c r="D5" s="17">
        <v>30</v>
      </c>
      <c r="E5" s="104"/>
      <c r="F5" s="27">
        <f>Tableau1311[[#This Row],[durée]]-Tableau1311[[#This Row],[Total]]</f>
        <v>30</v>
      </c>
      <c r="G5" s="27">
        <f>Tableau1311[[#This Row],[durée]]*80%</f>
        <v>24</v>
      </c>
      <c r="H5" s="28">
        <f>SUM(Tableau1311[[#This Row],[s1]:[s22]])</f>
        <v>0</v>
      </c>
      <c r="I5" s="89"/>
      <c r="J5" s="89"/>
      <c r="K5" s="89"/>
      <c r="L5" s="89"/>
      <c r="M5" s="89"/>
      <c r="N5" s="89"/>
      <c r="O5" s="89"/>
      <c r="P5" s="89"/>
      <c r="Q5" s="92"/>
      <c r="R5" s="33"/>
      <c r="S5" s="33"/>
      <c r="T5" s="33"/>
      <c r="U5" s="31"/>
      <c r="V5" s="31"/>
      <c r="W5" s="168"/>
      <c r="X5" s="31"/>
      <c r="Y5" s="31"/>
      <c r="Z5" s="31"/>
      <c r="AA5" s="31"/>
      <c r="AB5" s="31"/>
      <c r="AC5" s="31"/>
      <c r="AD5" s="169"/>
      <c r="AE5" s="170"/>
      <c r="AF5" s="171"/>
      <c r="AG5" s="171"/>
      <c r="AH5" s="178"/>
      <c r="AI5" s="178"/>
      <c r="AJ5" s="178"/>
      <c r="AK5" s="178"/>
      <c r="AL5" s="178"/>
      <c r="AM5" s="178"/>
      <c r="AN5" s="178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</row>
    <row r="6" spans="1:56" x14ac:dyDescent="0.25">
      <c r="A6" s="17" t="s">
        <v>83</v>
      </c>
      <c r="B6" s="17">
        <v>2</v>
      </c>
      <c r="C6" s="17" t="s">
        <v>177</v>
      </c>
      <c r="D6" s="17">
        <v>60</v>
      </c>
      <c r="E6" s="165"/>
      <c r="F6" s="27">
        <f>Tableau1311[[#This Row],[durée]]-Tableau1311[[#This Row],[Total]]</f>
        <v>60</v>
      </c>
      <c r="G6" s="27">
        <f>Tableau1311[[#This Row],[durée]]*80%</f>
        <v>48</v>
      </c>
      <c r="H6" s="28">
        <f>SUM(Tableau1311[[#This Row],[s1]:[s22]])</f>
        <v>0</v>
      </c>
      <c r="I6" s="31"/>
      <c r="J6" s="31"/>
      <c r="K6" s="172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168"/>
      <c r="X6" s="31"/>
      <c r="Y6" s="31"/>
      <c r="Z6" s="31"/>
      <c r="AA6" s="31"/>
      <c r="AB6" s="31"/>
      <c r="AC6" s="31"/>
      <c r="AD6" s="169"/>
      <c r="AE6" s="168"/>
      <c r="AF6" s="31"/>
      <c r="AG6" s="31"/>
      <c r="AH6" s="33"/>
      <c r="AI6" s="33"/>
      <c r="AJ6" s="33"/>
      <c r="AK6" s="33"/>
      <c r="AL6" s="33"/>
      <c r="AM6" s="33"/>
      <c r="AN6" s="33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</row>
    <row r="7" spans="1:56" x14ac:dyDescent="0.25">
      <c r="A7" s="17" t="s">
        <v>83</v>
      </c>
      <c r="B7" s="17">
        <v>3</v>
      </c>
      <c r="C7" s="17" t="s">
        <v>101</v>
      </c>
      <c r="D7" s="17">
        <v>60</v>
      </c>
      <c r="E7" s="165"/>
      <c r="F7" s="27">
        <f>Tableau1311[[#This Row],[durée]]-Tableau1311[[#This Row],[Total]]</f>
        <v>60</v>
      </c>
      <c r="G7" s="27">
        <f>Tableau1311[[#This Row],[durée]]*80%</f>
        <v>48</v>
      </c>
      <c r="H7" s="28">
        <f>SUM(Tableau1311[[#This Row],[s1]:[s22]])</f>
        <v>0</v>
      </c>
      <c r="I7" s="31"/>
      <c r="J7" s="31"/>
      <c r="K7" s="172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168"/>
      <c r="X7" s="31"/>
      <c r="Y7" s="31"/>
      <c r="Z7" s="31"/>
      <c r="AA7" s="31"/>
      <c r="AB7" s="31"/>
      <c r="AC7" s="31"/>
      <c r="AD7" s="169"/>
      <c r="AE7" s="168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</row>
    <row r="8" spans="1:56" x14ac:dyDescent="0.25">
      <c r="A8" s="17" t="s">
        <v>83</v>
      </c>
      <c r="B8" s="17">
        <v>4</v>
      </c>
      <c r="C8" s="17" t="s">
        <v>102</v>
      </c>
      <c r="D8" s="17">
        <v>30</v>
      </c>
      <c r="E8" s="165"/>
      <c r="F8" s="27">
        <f>Tableau1311[[#This Row],[durée]]-Tableau1311[[#This Row],[Total]]</f>
        <v>30</v>
      </c>
      <c r="G8" s="27">
        <f>Tableau1311[[#This Row],[durée]]*80%</f>
        <v>24</v>
      </c>
      <c r="H8" s="28">
        <f>SUM(Tableau1311[[#This Row],[s1]:[s22]])</f>
        <v>0</v>
      </c>
      <c r="I8" s="31"/>
      <c r="J8" s="31"/>
      <c r="K8" s="172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168"/>
      <c r="X8" s="31"/>
      <c r="Y8" s="31"/>
      <c r="Z8" s="31"/>
      <c r="AA8" s="31"/>
      <c r="AB8" s="31"/>
      <c r="AC8" s="31"/>
      <c r="AD8" s="169"/>
      <c r="AE8" s="168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</row>
    <row r="9" spans="1:56" x14ac:dyDescent="0.25">
      <c r="A9" s="17" t="s">
        <v>83</v>
      </c>
      <c r="B9" s="17">
        <v>5</v>
      </c>
      <c r="C9" s="17" t="s">
        <v>54</v>
      </c>
      <c r="D9" s="17">
        <v>60</v>
      </c>
      <c r="E9" s="165"/>
      <c r="F9" s="27">
        <f>Tableau1311[[#This Row],[durée]]-Tableau1311[[#This Row],[Total]]</f>
        <v>60</v>
      </c>
      <c r="G9" s="27">
        <f>Tableau1311[[#This Row],[durée]]*80%</f>
        <v>48</v>
      </c>
      <c r="H9" s="28">
        <f>SUM(Tableau1311[[#This Row],[s1]:[s22]])</f>
        <v>0</v>
      </c>
      <c r="I9" s="31"/>
      <c r="J9" s="31"/>
      <c r="K9" s="172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168"/>
      <c r="X9" s="31"/>
      <c r="Y9" s="31"/>
      <c r="Z9" s="31"/>
      <c r="AA9" s="31"/>
      <c r="AB9" s="31"/>
      <c r="AC9" s="31"/>
      <c r="AD9" s="169"/>
      <c r="AE9" s="168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</row>
    <row r="10" spans="1:56" x14ac:dyDescent="0.25">
      <c r="A10" s="17" t="s">
        <v>83</v>
      </c>
      <c r="B10" s="17">
        <v>6</v>
      </c>
      <c r="C10" s="17" t="s">
        <v>178</v>
      </c>
      <c r="D10" s="17">
        <v>45</v>
      </c>
      <c r="E10" s="165"/>
      <c r="F10" s="27">
        <f>Tableau1311[[#This Row],[durée]]-Tableau1311[[#This Row],[Total]]</f>
        <v>45</v>
      </c>
      <c r="G10" s="27">
        <f>Tableau1311[[#This Row],[durée]]*80%</f>
        <v>36</v>
      </c>
      <c r="H10" s="28">
        <f>SUM(Tableau1311[[#This Row],[s1]:[s22]])</f>
        <v>0</v>
      </c>
      <c r="I10" s="31"/>
      <c r="J10" s="31"/>
      <c r="K10" s="172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168"/>
      <c r="X10" s="31"/>
      <c r="Y10" s="31"/>
      <c r="Z10" s="31"/>
      <c r="AA10" s="31"/>
      <c r="AB10" s="31"/>
      <c r="AC10" s="31"/>
      <c r="AD10" s="169"/>
      <c r="AE10" s="168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</row>
    <row r="11" spans="1:56" x14ac:dyDescent="0.25">
      <c r="A11" s="17" t="s">
        <v>83</v>
      </c>
      <c r="B11" s="17">
        <v>7</v>
      </c>
      <c r="C11" s="17" t="s">
        <v>179</v>
      </c>
      <c r="D11" s="17">
        <v>60</v>
      </c>
      <c r="E11" s="165"/>
      <c r="F11" s="27">
        <f>Tableau1311[[#This Row],[durée]]-Tableau1311[[#This Row],[Total]]</f>
        <v>60</v>
      </c>
      <c r="G11" s="27">
        <f>Tableau1311[[#This Row],[durée]]*80%</f>
        <v>48</v>
      </c>
      <c r="H11" s="28">
        <f>SUM(Tableau1311[[#This Row],[s1]:[s22]])</f>
        <v>0</v>
      </c>
      <c r="I11" s="31"/>
      <c r="J11" s="31"/>
      <c r="K11" s="172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168"/>
      <c r="X11" s="31"/>
      <c r="Y11" s="31"/>
      <c r="Z11" s="31"/>
      <c r="AA11" s="31"/>
      <c r="AB11" s="31"/>
      <c r="AC11" s="31"/>
      <c r="AD11" s="169"/>
      <c r="AE11" s="168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</row>
    <row r="12" spans="1:56" x14ac:dyDescent="0.25">
      <c r="A12" s="17" t="s">
        <v>83</v>
      </c>
      <c r="B12" s="17">
        <v>8</v>
      </c>
      <c r="C12" s="17" t="s">
        <v>180</v>
      </c>
      <c r="D12" s="17">
        <v>45</v>
      </c>
      <c r="E12" s="165"/>
      <c r="F12" s="27">
        <f>Tableau1311[[#This Row],[durée]]-Tableau1311[[#This Row],[Total]]</f>
        <v>45</v>
      </c>
      <c r="G12" s="27">
        <f>Tableau1311[[#This Row],[durée]]*80%</f>
        <v>36</v>
      </c>
      <c r="H12" s="28">
        <f>SUM(Tableau1311[[#This Row],[s1]:[s22]])</f>
        <v>0</v>
      </c>
      <c r="I12" s="31"/>
      <c r="J12" s="31"/>
      <c r="K12" s="172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168"/>
      <c r="X12" s="31"/>
      <c r="Y12" s="31"/>
      <c r="Z12" s="31"/>
      <c r="AA12" s="31"/>
      <c r="AB12" s="31"/>
      <c r="AC12" s="31"/>
      <c r="AD12" s="169"/>
      <c r="AE12" s="168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</row>
    <row r="13" spans="1:56" x14ac:dyDescent="0.25">
      <c r="A13" s="17" t="s">
        <v>83</v>
      </c>
      <c r="B13" s="17">
        <v>9</v>
      </c>
      <c r="C13" s="17" t="s">
        <v>97</v>
      </c>
      <c r="D13" s="17">
        <v>30</v>
      </c>
      <c r="E13" s="165"/>
      <c r="F13" s="27">
        <f>Tableau1311[[#This Row],[durée]]-Tableau1311[[#This Row],[Total]]</f>
        <v>30</v>
      </c>
      <c r="G13" s="27">
        <f>Tableau1311[[#This Row],[durée]]*80%</f>
        <v>24</v>
      </c>
      <c r="H13" s="28">
        <f>SUM(Tableau1311[[#This Row],[s1]:[s22]])</f>
        <v>0</v>
      </c>
      <c r="I13" s="31"/>
      <c r="J13" s="31"/>
      <c r="K13" s="172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168"/>
      <c r="X13" s="31"/>
      <c r="Y13" s="31"/>
      <c r="Z13" s="31"/>
      <c r="AA13" s="31"/>
      <c r="AB13" s="31"/>
      <c r="AC13" s="31"/>
      <c r="AD13" s="169"/>
      <c r="AE13" s="168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</row>
    <row r="14" spans="1:56" x14ac:dyDescent="0.25">
      <c r="A14" s="17" t="s">
        <v>83</v>
      </c>
      <c r="B14" s="17">
        <v>10</v>
      </c>
      <c r="C14" s="17" t="s">
        <v>98</v>
      </c>
      <c r="D14" s="17">
        <v>150</v>
      </c>
      <c r="E14" s="165"/>
      <c r="F14" s="27">
        <f>Tableau1311[[#This Row],[durée]]-Tableau1311[[#This Row],[Total]]</f>
        <v>150</v>
      </c>
      <c r="G14" s="27">
        <f>Tableau1311[[#This Row],[durée]]*80%</f>
        <v>120</v>
      </c>
      <c r="H14" s="28">
        <f>SUM(Tableau1311[[#This Row],[s1]:[s22]])</f>
        <v>0</v>
      </c>
      <c r="I14" s="31"/>
      <c r="J14" s="31"/>
      <c r="K14" s="172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168"/>
      <c r="X14" s="31"/>
      <c r="Y14" s="31"/>
      <c r="Z14" s="31"/>
      <c r="AA14" s="31"/>
      <c r="AB14" s="31"/>
      <c r="AC14" s="31"/>
      <c r="AD14" s="169"/>
      <c r="AE14" s="168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</row>
    <row r="15" spans="1:56" x14ac:dyDescent="0.25">
      <c r="A15" s="17" t="s">
        <v>83</v>
      </c>
      <c r="B15" s="17">
        <v>11</v>
      </c>
      <c r="C15" s="17" t="s">
        <v>99</v>
      </c>
      <c r="D15" s="17">
        <v>30</v>
      </c>
      <c r="E15" s="165"/>
      <c r="F15" s="27">
        <f>Tableau1311[[#This Row],[durée]]-Tableau1311[[#This Row],[Total]]</f>
        <v>30</v>
      </c>
      <c r="G15" s="27">
        <f>Tableau1311[[#This Row],[durée]]*80%</f>
        <v>24</v>
      </c>
      <c r="H15" s="28">
        <f>SUM(Tableau1311[[#This Row],[s1]:[s22]])</f>
        <v>0</v>
      </c>
      <c r="I15" s="31"/>
      <c r="J15" s="31"/>
      <c r="K15" s="172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168"/>
      <c r="X15" s="31"/>
      <c r="Y15" s="31"/>
      <c r="Z15" s="31"/>
      <c r="AA15" s="31"/>
      <c r="AB15" s="31"/>
      <c r="AC15" s="31"/>
      <c r="AD15" s="169"/>
      <c r="AE15" s="168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</row>
    <row r="16" spans="1:56" x14ac:dyDescent="0.25">
      <c r="A16" s="17" t="s">
        <v>83</v>
      </c>
      <c r="B16" s="17">
        <v>12</v>
      </c>
      <c r="C16" s="17" t="s">
        <v>103</v>
      </c>
      <c r="D16" s="17">
        <v>120</v>
      </c>
      <c r="E16" s="165"/>
      <c r="F16" s="27">
        <f>Tableau1311[[#This Row],[durée]]-Tableau1311[[#This Row],[Total]]</f>
        <v>120</v>
      </c>
      <c r="G16" s="27">
        <f>Tableau1311[[#This Row],[durée]]*80%</f>
        <v>96</v>
      </c>
      <c r="H16" s="28">
        <f>SUM(Tableau1311[[#This Row],[s1]:[s22]])</f>
        <v>0</v>
      </c>
      <c r="I16" s="31"/>
      <c r="J16" s="31"/>
      <c r="K16" s="172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168"/>
      <c r="X16" s="31"/>
      <c r="Y16" s="31"/>
      <c r="Z16" s="31"/>
      <c r="AA16" s="31"/>
      <c r="AB16" s="31"/>
      <c r="AC16" s="31"/>
      <c r="AD16" s="169"/>
      <c r="AE16" s="168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</row>
    <row r="17" spans="1:56" x14ac:dyDescent="0.25">
      <c r="A17" s="17" t="s">
        <v>83</v>
      </c>
      <c r="B17" s="17">
        <v>13</v>
      </c>
      <c r="C17" s="17" t="s">
        <v>100</v>
      </c>
      <c r="D17" s="17">
        <v>30</v>
      </c>
      <c r="E17" s="165"/>
      <c r="F17" s="27">
        <f>Tableau1311[[#This Row],[durée]]-Tableau1311[[#This Row],[Total]]</f>
        <v>30</v>
      </c>
      <c r="G17" s="27">
        <f>Tableau1311[[#This Row],[durée]]*80%</f>
        <v>24</v>
      </c>
      <c r="H17" s="28">
        <f>SUM(Tableau1311[[#This Row],[s1]:[s22]])</f>
        <v>0</v>
      </c>
      <c r="I17" s="31"/>
      <c r="J17" s="31"/>
      <c r="K17" s="172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168"/>
      <c r="X17" s="31"/>
      <c r="Y17" s="31"/>
      <c r="Z17" s="31"/>
      <c r="AA17" s="31"/>
      <c r="AB17" s="31"/>
      <c r="AC17" s="31"/>
      <c r="AD17" s="169"/>
      <c r="AE17" s="168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</row>
    <row r="18" spans="1:56" x14ac:dyDescent="0.25">
      <c r="A18" s="17" t="s">
        <v>83</v>
      </c>
      <c r="B18" s="17">
        <v>14</v>
      </c>
      <c r="C18" s="17" t="s">
        <v>181</v>
      </c>
      <c r="D18" s="17">
        <v>160</v>
      </c>
      <c r="E18" s="165"/>
      <c r="F18" s="27">
        <f>Tableau1311[[#This Row],[durée]]-Tableau1311[[#This Row],[Total]]</f>
        <v>160</v>
      </c>
      <c r="G18" s="27">
        <f>Tableau1311[[#This Row],[durée]]*80%</f>
        <v>128</v>
      </c>
      <c r="H18" s="28">
        <f>SUM(Tableau1311[[#This Row],[s1]:[s22]])</f>
        <v>0</v>
      </c>
      <c r="I18" s="31"/>
      <c r="J18" s="31"/>
      <c r="K18" s="172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168"/>
      <c r="X18" s="31"/>
      <c r="Y18" s="31"/>
      <c r="Z18" s="31"/>
      <c r="AA18" s="31"/>
      <c r="AB18" s="31"/>
      <c r="AC18" s="31"/>
      <c r="AD18" s="169"/>
      <c r="AE18" s="168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</row>
    <row r="19" spans="1:56" x14ac:dyDescent="0.25">
      <c r="A19" s="17" t="s">
        <v>83</v>
      </c>
      <c r="B19" s="17">
        <v>15</v>
      </c>
      <c r="C19" s="17" t="s">
        <v>104</v>
      </c>
      <c r="D19" s="17">
        <v>75</v>
      </c>
      <c r="E19" s="165"/>
      <c r="F19" s="27">
        <f>Tableau1311[[#This Row],[durée]]-Tableau1311[[#This Row],[Total]]</f>
        <v>75</v>
      </c>
      <c r="G19" s="27">
        <f>Tableau1311[[#This Row],[durée]]*80%</f>
        <v>60</v>
      </c>
      <c r="H19" s="28">
        <f>SUM(Tableau1311[[#This Row],[s1]:[s22]])</f>
        <v>0</v>
      </c>
      <c r="I19" s="31"/>
      <c r="J19" s="31"/>
      <c r="K19" s="172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168"/>
      <c r="X19" s="31"/>
      <c r="Y19" s="31"/>
      <c r="Z19" s="31"/>
      <c r="AA19" s="31"/>
      <c r="AB19" s="31"/>
      <c r="AC19" s="31"/>
      <c r="AD19" s="169"/>
      <c r="AE19" s="168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</row>
    <row r="20" spans="1:56" x14ac:dyDescent="0.25">
      <c r="A20" s="17" t="s">
        <v>83</v>
      </c>
      <c r="B20" s="17">
        <v>16</v>
      </c>
      <c r="C20" s="17" t="s">
        <v>105</v>
      </c>
      <c r="D20" s="17">
        <v>45</v>
      </c>
      <c r="E20" s="165"/>
      <c r="F20" s="27">
        <f>Tableau1311[[#This Row],[durée]]-Tableau1311[[#This Row],[Total]]</f>
        <v>45</v>
      </c>
      <c r="G20" s="27">
        <f>Tableau1311[[#This Row],[durée]]*80%</f>
        <v>36</v>
      </c>
      <c r="H20" s="28">
        <f>SUM(Tableau1311[[#This Row],[s1]:[s22]])</f>
        <v>0</v>
      </c>
      <c r="I20" s="31"/>
      <c r="J20" s="31"/>
      <c r="K20" s="172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168"/>
      <c r="X20" s="31"/>
      <c r="Y20" s="31"/>
      <c r="Z20" s="31"/>
      <c r="AA20" s="31"/>
      <c r="AB20" s="31"/>
      <c r="AC20" s="31"/>
      <c r="AD20" s="169"/>
      <c r="AE20" s="168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</row>
    <row r="21" spans="1:56" x14ac:dyDescent="0.25">
      <c r="A21" s="17" t="s">
        <v>83</v>
      </c>
      <c r="B21" s="17">
        <v>17</v>
      </c>
      <c r="C21" s="17" t="s">
        <v>55</v>
      </c>
      <c r="D21" s="17">
        <v>60</v>
      </c>
      <c r="E21" s="165"/>
      <c r="F21" s="27">
        <f>Tableau1311[[#This Row],[durée]]-Tableau1311[[#This Row],[Total]]</f>
        <v>60</v>
      </c>
      <c r="G21" s="27">
        <f>Tableau1311[[#This Row],[durée]]*80%</f>
        <v>48</v>
      </c>
      <c r="H21" s="28">
        <f>SUM(Tableau1311[[#This Row],[s1]:[s22]])</f>
        <v>0</v>
      </c>
      <c r="I21" s="31"/>
      <c r="J21" s="31"/>
      <c r="K21" s="172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168"/>
      <c r="X21" s="31"/>
      <c r="Y21" s="31"/>
      <c r="Z21" s="31"/>
      <c r="AA21" s="31"/>
      <c r="AB21" s="31"/>
      <c r="AC21" s="31"/>
      <c r="AD21" s="169"/>
      <c r="AE21" s="168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</row>
    <row r="22" spans="1:56" x14ac:dyDescent="0.25">
      <c r="A22" s="17" t="s">
        <v>83</v>
      </c>
      <c r="B22" s="17">
        <v>18</v>
      </c>
      <c r="C22" s="17" t="s">
        <v>56</v>
      </c>
      <c r="D22" s="17">
        <v>90</v>
      </c>
      <c r="E22" s="104"/>
      <c r="F22" s="27">
        <f>Tableau1311[[#This Row],[durée]]-Tableau1311[[#This Row],[Total]]</f>
        <v>90</v>
      </c>
      <c r="G22" s="27">
        <f>Tableau1311[[#This Row],[durée]]*80%</f>
        <v>72</v>
      </c>
      <c r="H22" s="28">
        <f>SUM(Tableau1311[[#This Row],[s1]:[s22]])</f>
        <v>0</v>
      </c>
      <c r="I22" s="31"/>
      <c r="J22" s="31"/>
      <c r="K22" s="172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168"/>
      <c r="X22" s="31"/>
      <c r="Y22" s="31"/>
      <c r="Z22" s="31"/>
      <c r="AA22" s="31"/>
      <c r="AB22" s="31"/>
      <c r="AC22" s="31"/>
      <c r="AD22" s="169"/>
      <c r="AE22" s="168"/>
      <c r="AF22" s="31"/>
      <c r="AG22" s="31"/>
      <c r="AH22" s="31"/>
      <c r="AI22" s="31"/>
      <c r="AJ22" s="31"/>
      <c r="AK22" s="31"/>
      <c r="AL22" s="31"/>
      <c r="AM22" s="3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32"/>
      <c r="AY22" s="32"/>
      <c r="AZ22" s="32"/>
      <c r="BA22" s="32"/>
      <c r="BB22" s="32"/>
      <c r="BC22" s="32"/>
      <c r="BD22" s="32"/>
    </row>
    <row r="23" spans="1:56" x14ac:dyDescent="0.25">
      <c r="A23" s="181" t="s">
        <v>83</v>
      </c>
      <c r="B23" s="181">
        <v>19</v>
      </c>
      <c r="C23" s="181" t="s">
        <v>182</v>
      </c>
      <c r="D23" s="181">
        <v>90</v>
      </c>
      <c r="E23" s="165"/>
      <c r="F23" s="27">
        <f>Tableau1311[[#This Row],[durée]]-Tableau1311[[#This Row],[Total]]</f>
        <v>90</v>
      </c>
      <c r="G23" s="27">
        <f>Tableau1311[[#This Row],[durée]]*80%</f>
        <v>72</v>
      </c>
      <c r="H23" s="28">
        <f>SUM(Tableau1311[[#This Row],[s1]:[s22]])</f>
        <v>0</v>
      </c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31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81" t="s">
        <v>83</v>
      </c>
      <c r="B24" s="181">
        <v>20</v>
      </c>
      <c r="C24" s="181" t="s">
        <v>106</v>
      </c>
      <c r="D24" s="181">
        <v>150</v>
      </c>
      <c r="E24" s="165"/>
      <c r="F24" s="27">
        <f>Tableau1311[[#This Row],[durée]]-Tableau1311[[#This Row],[Total]]</f>
        <v>150</v>
      </c>
      <c r="G24" s="27">
        <f>Tableau1311[[#This Row],[durée]]*80%</f>
        <v>120</v>
      </c>
      <c r="H24" s="28">
        <f>SUM(Tableau1311[[#This Row],[s1]:[s22]])</f>
        <v>0</v>
      </c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31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81" t="s">
        <v>83</v>
      </c>
      <c r="B25" s="181">
        <v>21</v>
      </c>
      <c r="C25" s="181" t="s">
        <v>183</v>
      </c>
      <c r="D25" s="181">
        <v>45</v>
      </c>
      <c r="E25" s="165"/>
      <c r="F25" s="27">
        <f>Tableau1311[[#This Row],[durée]]-Tableau1311[[#This Row],[Total]]</f>
        <v>45</v>
      </c>
      <c r="G25" s="27">
        <f>Tableau1311[[#This Row],[durée]]*80%</f>
        <v>36</v>
      </c>
      <c r="H25" s="28">
        <f>SUM(Tableau1311[[#This Row],[s1]:[s22]])</f>
        <v>0</v>
      </c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31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81" t="s">
        <v>83</v>
      </c>
      <c r="B26" s="181">
        <v>22</v>
      </c>
      <c r="C26" s="181" t="s">
        <v>184</v>
      </c>
      <c r="D26" s="181">
        <v>45</v>
      </c>
      <c r="E26" s="165"/>
      <c r="F26" s="27">
        <f>Tableau1311[[#This Row],[durée]]-Tableau1311[[#This Row],[Total]]</f>
        <v>45</v>
      </c>
      <c r="G26" s="27">
        <f>Tableau1311[[#This Row],[durée]]*80%</f>
        <v>36</v>
      </c>
      <c r="H26" s="28">
        <f>SUM(Tableau1311[[#This Row],[s1]:[s22]])</f>
        <v>0</v>
      </c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31"/>
      <c r="AE26" s="168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</row>
    <row r="27" spans="1:56" x14ac:dyDescent="0.25">
      <c r="A27" s="181" t="s">
        <v>83</v>
      </c>
      <c r="B27" s="181">
        <v>23</v>
      </c>
      <c r="C27" s="181" t="s">
        <v>107</v>
      </c>
      <c r="D27" s="181">
        <v>15</v>
      </c>
      <c r="E27" s="165"/>
      <c r="F27" s="27">
        <f>Tableau1311[[#This Row],[durée]]-Tableau1311[[#This Row],[Total]]</f>
        <v>15</v>
      </c>
      <c r="G27" s="27">
        <f>Tableau1311[[#This Row],[durée]]*80%</f>
        <v>12</v>
      </c>
      <c r="H27" s="28">
        <f>SUM(Tableau1311[[#This Row],[s1]:[s22]])</f>
        <v>0</v>
      </c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81" t="s">
        <v>83</v>
      </c>
      <c r="B28" s="181">
        <v>24</v>
      </c>
      <c r="C28" s="181" t="s">
        <v>185</v>
      </c>
      <c r="D28" s="181">
        <v>240</v>
      </c>
      <c r="E28" s="165"/>
      <c r="F28" s="27">
        <f>Tableau1311[[#This Row],[durée]]-Tableau1311[[#This Row],[Total]]</f>
        <v>240</v>
      </c>
      <c r="G28" s="27">
        <f>Tableau1311[[#This Row],[durée]]*80%</f>
        <v>192</v>
      </c>
      <c r="H28" s="28">
        <f>SUM(Tableau1311[[#This Row],[s1]:[s22]])</f>
        <v>0</v>
      </c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81" t="s">
        <v>83</v>
      </c>
      <c r="B29" s="181">
        <v>25</v>
      </c>
      <c r="C29" s="181" t="s">
        <v>57</v>
      </c>
      <c r="D29" s="181">
        <v>48</v>
      </c>
      <c r="E29" s="165"/>
      <c r="F29" s="27">
        <f>Tableau1311[[#This Row],[durée]]-Tableau1311[[#This Row],[Total]]</f>
        <v>48</v>
      </c>
      <c r="G29" s="27">
        <f>Tableau1311[[#This Row],[durée]]*80%</f>
        <v>38.400000000000006</v>
      </c>
      <c r="H29" s="28">
        <f>SUM(Tableau1311[[#This Row],[s1]:[s22]])</f>
        <v>0</v>
      </c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81" t="s">
        <v>83</v>
      </c>
      <c r="B30" s="181">
        <v>26</v>
      </c>
      <c r="C30" s="181" t="s">
        <v>108</v>
      </c>
      <c r="D30" s="181">
        <v>32</v>
      </c>
      <c r="E30" s="165"/>
      <c r="F30" s="27">
        <f>Tableau1311[[#This Row],[durée]]-Tableau1311[[#This Row],[Total]]</f>
        <v>32</v>
      </c>
      <c r="G30" s="27">
        <f>Tableau1311[[#This Row],[durée]]*80%</f>
        <v>25.6</v>
      </c>
      <c r="H30" s="28">
        <f>SUM(Tableau1311[[#This Row],[s1]:[s22]])</f>
        <v>0</v>
      </c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81" t="s">
        <v>83</v>
      </c>
      <c r="B31" s="181">
        <v>27</v>
      </c>
      <c r="C31" s="181" t="s">
        <v>58</v>
      </c>
      <c r="D31" s="181">
        <v>72</v>
      </c>
      <c r="E31" s="165"/>
      <c r="F31" s="27">
        <f>Tableau1311[[#This Row],[durée]]-Tableau1311[[#This Row],[Total]]</f>
        <v>72</v>
      </c>
      <c r="G31" s="27">
        <f>Tableau1311[[#This Row],[durée]]*80%</f>
        <v>57.6</v>
      </c>
      <c r="H31" s="28">
        <f>SUM(Tableau1311[[#This Row],[s1]:[s22]])</f>
        <v>0</v>
      </c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81" t="s">
        <v>83</v>
      </c>
      <c r="B32" s="181">
        <v>28</v>
      </c>
      <c r="C32" s="181" t="s">
        <v>109</v>
      </c>
      <c r="D32" s="181">
        <v>20</v>
      </c>
      <c r="E32" s="165"/>
      <c r="F32" s="27">
        <f>Tableau1311[[#This Row],[durée]]-Tableau1311[[#This Row],[Total]]</f>
        <v>20</v>
      </c>
      <c r="G32" s="27">
        <f>Tableau1311[[#This Row],[durée]]*80%</f>
        <v>16</v>
      </c>
      <c r="H32" s="28">
        <f>SUM(Tableau1311[[#This Row],[s1]:[s22]])</f>
        <v>0</v>
      </c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81" t="s">
        <v>83</v>
      </c>
      <c r="B33" s="181">
        <v>29</v>
      </c>
      <c r="C33" s="181" t="s">
        <v>128</v>
      </c>
      <c r="D33" s="181">
        <v>16</v>
      </c>
      <c r="E33" s="165"/>
      <c r="F33" s="27">
        <f>Tableau1311[[#This Row],[durée]]-Tableau1311[[#This Row],[Total]]</f>
        <v>16</v>
      </c>
      <c r="G33" s="27">
        <f>Tableau1311[[#This Row],[durée]]*80%</f>
        <v>12.8</v>
      </c>
      <c r="H33" s="28">
        <f>SUM(Tableau1311[[#This Row],[s1]:[s22]])</f>
        <v>0</v>
      </c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81" t="s">
        <v>83</v>
      </c>
      <c r="B34" s="181">
        <v>30</v>
      </c>
      <c r="C34" s="181" t="s">
        <v>186</v>
      </c>
      <c r="D34" s="181">
        <v>20</v>
      </c>
      <c r="E34" s="165"/>
      <c r="F34" s="27">
        <f>Tableau1311[[#This Row],[durée]]-Tableau1311[[#This Row],[Total]]</f>
        <v>20</v>
      </c>
      <c r="G34" s="27">
        <f>Tableau1311[[#This Row],[durée]]*80%</f>
        <v>16</v>
      </c>
      <c r="H34" s="28">
        <f>SUM(Tableau1311[[#This Row],[s1]:[s22]])</f>
        <v>0</v>
      </c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81" t="s">
        <v>83</v>
      </c>
      <c r="B35" s="181">
        <v>31</v>
      </c>
      <c r="C35" s="181" t="s">
        <v>6</v>
      </c>
      <c r="D35" s="181">
        <v>40</v>
      </c>
      <c r="E35" s="165"/>
      <c r="F35" s="27">
        <f>Tableau1311[[#This Row],[durée]]-Tableau1311[[#This Row],[Total]]</f>
        <v>40</v>
      </c>
      <c r="G35" s="27">
        <f>Tableau1311[[#This Row],[durée]]*80%</f>
        <v>32</v>
      </c>
      <c r="H35" s="28">
        <f>SUM(Tableau1311[[#This Row],[s1]:[s22]])</f>
        <v>0</v>
      </c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81" t="s">
        <v>83</v>
      </c>
      <c r="B36" s="181">
        <v>32</v>
      </c>
      <c r="C36" s="181" t="s">
        <v>7</v>
      </c>
      <c r="D36" s="181">
        <v>60</v>
      </c>
      <c r="E36" s="165"/>
      <c r="F36" s="27">
        <f>Tableau1311[[#This Row],[durée]]-Tableau1311[[#This Row],[Total]]</f>
        <v>60</v>
      </c>
      <c r="G36" s="27">
        <f>Tableau1311[[#This Row],[durée]]*80%</f>
        <v>48</v>
      </c>
      <c r="H36" s="28">
        <f>SUM(Tableau1311[[#This Row],[s1]:[s22]])</f>
        <v>0</v>
      </c>
      <c r="I36" s="31"/>
      <c r="J36" s="31"/>
      <c r="K36" s="172"/>
      <c r="L36" s="33"/>
      <c r="M36" s="33"/>
      <c r="N36" s="33"/>
      <c r="O36" s="33"/>
      <c r="P36" s="33"/>
      <c r="Q36" s="33"/>
      <c r="R36" s="33"/>
      <c r="S36" s="33"/>
      <c r="T36" s="33"/>
      <c r="U36" s="31"/>
      <c r="V36" s="31"/>
      <c r="W36" s="168"/>
      <c r="X36" s="31"/>
      <c r="Y36" s="31"/>
      <c r="Z36" s="31"/>
      <c r="AA36" s="31"/>
      <c r="AB36" s="31"/>
      <c r="AC36" s="31"/>
      <c r="AD36" s="31"/>
      <c r="AE36" s="168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</row>
    <row r="37" spans="1:56" x14ac:dyDescent="0.25">
      <c r="A37" s="183" t="s">
        <v>83</v>
      </c>
      <c r="B37" s="183">
        <v>33</v>
      </c>
      <c r="C37" s="183" t="s">
        <v>110</v>
      </c>
      <c r="D37" s="183">
        <v>60</v>
      </c>
      <c r="E37" s="185"/>
      <c r="F37" s="29">
        <f>Tableau1311[[#This Row],[durée]]-Tableau1311[[#This Row],[Total]]</f>
        <v>60</v>
      </c>
      <c r="G37" s="29">
        <f>Tableau1311[[#This Row],[durée]]*80%</f>
        <v>48</v>
      </c>
      <c r="H37" s="30">
        <f>SUM(Tableau1311[[#This Row],[s1]:[s22]])</f>
        <v>0</v>
      </c>
      <c r="I37" s="32"/>
      <c r="J37" s="32"/>
      <c r="K37" s="186"/>
      <c r="L37" s="156"/>
      <c r="M37" s="156"/>
      <c r="N37" s="156"/>
      <c r="O37" s="156"/>
      <c r="P37" s="156"/>
      <c r="Q37" s="156"/>
      <c r="R37" s="156"/>
      <c r="S37" s="156"/>
      <c r="T37" s="156"/>
      <c r="U37" s="32"/>
      <c r="V37" s="32"/>
      <c r="W37" s="187"/>
      <c r="X37" s="32"/>
      <c r="Y37" s="32"/>
      <c r="Z37" s="32"/>
      <c r="AA37" s="32"/>
      <c r="AB37" s="32"/>
      <c r="AC37" s="32"/>
      <c r="AD37" s="32"/>
      <c r="AE37" s="187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dataValidations count="1">
    <dataValidation type="list" allowBlank="1" showInputMessage="1" showErrorMessage="1" sqref="E5:E37">
      <formula1>lstFormateur</formula1>
    </dataValidation>
  </dataValidations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BD162"/>
  <sheetViews>
    <sheetView zoomScale="85" zoomScaleNormal="85" workbookViewId="0">
      <pane xSplit="8" ySplit="4" topLeftCell="I5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ColWidth="11.42578125" defaultRowHeight="15" x14ac:dyDescent="0.25"/>
  <cols>
    <col min="1" max="1" width="28.7109375" bestFit="1" customWidth="1"/>
    <col min="2" max="2" width="3.85546875" bestFit="1" customWidth="1"/>
    <col min="3" max="3" width="96" bestFit="1" customWidth="1"/>
    <col min="4" max="4" width="8.42578125" customWidth="1"/>
    <col min="5" max="5" width="19" bestFit="1" customWidth="1"/>
    <col min="6" max="6" width="8.140625" customWidth="1"/>
    <col min="7" max="7" width="6.7109375" customWidth="1"/>
    <col min="8" max="8" width="7.7109375" bestFit="1" customWidth="1"/>
    <col min="9" max="9" width="2.85546875" customWidth="1"/>
    <col min="10" max="10" width="4.140625" customWidth="1"/>
    <col min="11" max="11" width="2.7109375" customWidth="1"/>
    <col min="12" max="12" width="2.7109375" style="99" customWidth="1"/>
    <col min="13" max="13" width="3.85546875" customWidth="1"/>
    <col min="14" max="19" width="2.7109375" customWidth="1"/>
    <col min="20" max="20" width="2.7109375" style="134" customWidth="1"/>
    <col min="21" max="21" width="2.7109375" customWidth="1"/>
    <col min="22" max="22" width="2.7109375" hidden="1" customWidth="1"/>
    <col min="23" max="23" width="2.7109375" style="134" hidden="1" customWidth="1"/>
    <col min="24" max="30" width="2.7109375" hidden="1" customWidth="1"/>
    <col min="31" max="31" width="3.85546875" style="134" hidden="1" customWidth="1"/>
    <col min="32" max="33" width="3.85546875" hidden="1" customWidth="1"/>
    <col min="34" max="49" width="3.85546875" customWidth="1"/>
    <col min="50" max="56" width="4.5703125" bestFit="1" customWidth="1"/>
  </cols>
  <sheetData>
    <row r="1" spans="1:56" ht="61.5" x14ac:dyDescent="0.25">
      <c r="C1" s="153" t="s">
        <v>195</v>
      </c>
      <c r="D1" s="86" t="s">
        <v>9</v>
      </c>
      <c r="E1" s="87">
        <v>44116</v>
      </c>
      <c r="I1" s="180">
        <f>E1</f>
        <v>44116</v>
      </c>
      <c r="J1" s="1">
        <f t="shared" ref="J1:M1" si="0">I1+7</f>
        <v>44123</v>
      </c>
      <c r="K1" s="1">
        <f t="shared" si="0"/>
        <v>44130</v>
      </c>
      <c r="L1" s="1">
        <f t="shared" si="0"/>
        <v>44137</v>
      </c>
      <c r="M1" s="1">
        <f t="shared" si="0"/>
        <v>44144</v>
      </c>
      <c r="N1" s="1">
        <f>M1+7</f>
        <v>44151</v>
      </c>
      <c r="O1" s="1">
        <f>N1+7</f>
        <v>44158</v>
      </c>
      <c r="P1" s="1">
        <f>O1+7</f>
        <v>44165</v>
      </c>
      <c r="Q1" s="1">
        <f t="shared" ref="Q1:BD1" si="1">P1+7</f>
        <v>44172</v>
      </c>
      <c r="R1" s="1">
        <f t="shared" si="1"/>
        <v>44179</v>
      </c>
      <c r="S1" s="1">
        <f t="shared" si="1"/>
        <v>44186</v>
      </c>
      <c r="T1" s="1">
        <f t="shared" si="1"/>
        <v>44193</v>
      </c>
      <c r="U1" s="1">
        <f t="shared" si="1"/>
        <v>44200</v>
      </c>
      <c r="V1" s="1">
        <f t="shared" si="1"/>
        <v>44207</v>
      </c>
      <c r="W1" s="1">
        <f t="shared" si="1"/>
        <v>44214</v>
      </c>
      <c r="X1" s="1">
        <f t="shared" si="1"/>
        <v>44221</v>
      </c>
      <c r="Y1" s="1">
        <f t="shared" si="1"/>
        <v>44228</v>
      </c>
      <c r="Z1" s="1">
        <f t="shared" si="1"/>
        <v>44235</v>
      </c>
      <c r="AA1" s="1">
        <f t="shared" si="1"/>
        <v>44242</v>
      </c>
      <c r="AB1" s="1">
        <f t="shared" si="1"/>
        <v>44249</v>
      </c>
      <c r="AC1" s="1">
        <f t="shared" si="1"/>
        <v>44256</v>
      </c>
      <c r="AD1" s="1">
        <f t="shared" si="1"/>
        <v>44263</v>
      </c>
      <c r="AE1" s="1">
        <f t="shared" si="1"/>
        <v>44270</v>
      </c>
      <c r="AF1" s="1">
        <f t="shared" si="1"/>
        <v>44277</v>
      </c>
      <c r="AG1" s="1">
        <f t="shared" si="1"/>
        <v>44284</v>
      </c>
      <c r="AH1" s="1">
        <f t="shared" si="1"/>
        <v>44291</v>
      </c>
      <c r="AI1" s="1">
        <f t="shared" si="1"/>
        <v>44298</v>
      </c>
      <c r="AJ1" s="1">
        <f t="shared" si="1"/>
        <v>44305</v>
      </c>
      <c r="AK1" s="1">
        <f t="shared" si="1"/>
        <v>44312</v>
      </c>
      <c r="AL1" s="1">
        <f t="shared" si="1"/>
        <v>44319</v>
      </c>
      <c r="AM1" s="1">
        <f t="shared" si="1"/>
        <v>44326</v>
      </c>
      <c r="AN1" s="1">
        <f t="shared" si="1"/>
        <v>44333</v>
      </c>
      <c r="AO1" s="1">
        <f t="shared" si="1"/>
        <v>44340</v>
      </c>
      <c r="AP1" s="1">
        <f t="shared" si="1"/>
        <v>44347</v>
      </c>
      <c r="AQ1" s="1">
        <f t="shared" si="1"/>
        <v>44354</v>
      </c>
      <c r="AR1" s="1">
        <f t="shared" si="1"/>
        <v>44361</v>
      </c>
      <c r="AS1" s="1">
        <f t="shared" si="1"/>
        <v>44368</v>
      </c>
      <c r="AT1" s="1">
        <f t="shared" si="1"/>
        <v>44375</v>
      </c>
      <c r="AU1" s="1">
        <f t="shared" si="1"/>
        <v>44382</v>
      </c>
      <c r="AV1" s="1">
        <f t="shared" si="1"/>
        <v>44389</v>
      </c>
      <c r="AW1" s="1">
        <f t="shared" si="1"/>
        <v>44396</v>
      </c>
      <c r="AX1" s="1">
        <f t="shared" si="1"/>
        <v>44403</v>
      </c>
      <c r="AY1" s="1">
        <f t="shared" si="1"/>
        <v>44410</v>
      </c>
      <c r="AZ1" s="1">
        <f t="shared" si="1"/>
        <v>44417</v>
      </c>
      <c r="BA1" s="1">
        <f t="shared" si="1"/>
        <v>44424</v>
      </c>
      <c r="BB1" s="1">
        <f t="shared" si="1"/>
        <v>44431</v>
      </c>
      <c r="BC1" s="1">
        <f t="shared" si="1"/>
        <v>44438</v>
      </c>
      <c r="BD1" s="1">
        <f t="shared" si="1"/>
        <v>44445</v>
      </c>
    </row>
    <row r="2" spans="1:56" ht="61.5" x14ac:dyDescent="0.25">
      <c r="I2" s="2">
        <f t="shared" ref="I2:M2" si="2">I1+6</f>
        <v>44122</v>
      </c>
      <c r="J2" s="2">
        <f t="shared" si="2"/>
        <v>44129</v>
      </c>
      <c r="K2" s="2">
        <f t="shared" si="2"/>
        <v>44136</v>
      </c>
      <c r="L2" s="2">
        <f t="shared" si="2"/>
        <v>44143</v>
      </c>
      <c r="M2" s="2">
        <f t="shared" si="2"/>
        <v>44150</v>
      </c>
      <c r="N2" s="2">
        <f>N1+6</f>
        <v>44157</v>
      </c>
      <c r="O2" s="2">
        <f>O1+6</f>
        <v>44164</v>
      </c>
      <c r="P2" s="2">
        <f>P1+6</f>
        <v>44171</v>
      </c>
      <c r="Q2" s="2">
        <f t="shared" ref="Q2:BD2" si="3">Q1+6</f>
        <v>44178</v>
      </c>
      <c r="R2" s="2">
        <f t="shared" si="3"/>
        <v>44185</v>
      </c>
      <c r="S2" s="2">
        <f t="shared" si="3"/>
        <v>44192</v>
      </c>
      <c r="T2" s="2">
        <f t="shared" si="3"/>
        <v>44199</v>
      </c>
      <c r="U2" s="2">
        <f t="shared" si="3"/>
        <v>44206</v>
      </c>
      <c r="V2" s="2">
        <f t="shared" si="3"/>
        <v>44213</v>
      </c>
      <c r="W2" s="2">
        <f t="shared" si="3"/>
        <v>44220</v>
      </c>
      <c r="X2" s="2">
        <f t="shared" si="3"/>
        <v>44227</v>
      </c>
      <c r="Y2" s="2">
        <f t="shared" si="3"/>
        <v>44234</v>
      </c>
      <c r="Z2" s="2">
        <f t="shared" si="3"/>
        <v>44241</v>
      </c>
      <c r="AA2" s="2">
        <f t="shared" si="3"/>
        <v>44248</v>
      </c>
      <c r="AB2" s="2">
        <f t="shared" si="3"/>
        <v>44255</v>
      </c>
      <c r="AC2" s="2">
        <f t="shared" si="3"/>
        <v>44262</v>
      </c>
      <c r="AD2" s="2">
        <f t="shared" si="3"/>
        <v>44269</v>
      </c>
      <c r="AE2" s="2">
        <f t="shared" si="3"/>
        <v>44276</v>
      </c>
      <c r="AF2" s="2">
        <f t="shared" si="3"/>
        <v>44283</v>
      </c>
      <c r="AG2" s="2">
        <f t="shared" si="3"/>
        <v>44290</v>
      </c>
      <c r="AH2" s="2">
        <f t="shared" si="3"/>
        <v>44297</v>
      </c>
      <c r="AI2" s="2">
        <f t="shared" si="3"/>
        <v>44304</v>
      </c>
      <c r="AJ2" s="2">
        <f t="shared" si="3"/>
        <v>44311</v>
      </c>
      <c r="AK2" s="2">
        <f t="shared" si="3"/>
        <v>44318</v>
      </c>
      <c r="AL2" s="2">
        <f t="shared" si="3"/>
        <v>44325</v>
      </c>
      <c r="AM2" s="2">
        <f t="shared" si="3"/>
        <v>44332</v>
      </c>
      <c r="AN2" s="2">
        <f t="shared" si="3"/>
        <v>44339</v>
      </c>
      <c r="AO2" s="2">
        <f t="shared" si="3"/>
        <v>44346</v>
      </c>
      <c r="AP2" s="2">
        <f t="shared" si="3"/>
        <v>44353</v>
      </c>
      <c r="AQ2" s="2">
        <f t="shared" si="3"/>
        <v>44360</v>
      </c>
      <c r="AR2" s="2">
        <f t="shared" si="3"/>
        <v>44367</v>
      </c>
      <c r="AS2" s="2">
        <f t="shared" si="3"/>
        <v>44374</v>
      </c>
      <c r="AT2" s="2">
        <f t="shared" si="3"/>
        <v>44381</v>
      </c>
      <c r="AU2" s="2">
        <f t="shared" si="3"/>
        <v>44388</v>
      </c>
      <c r="AV2" s="2">
        <f t="shared" si="3"/>
        <v>44395</v>
      </c>
      <c r="AW2" s="2">
        <f t="shared" si="3"/>
        <v>44402</v>
      </c>
      <c r="AX2" s="2">
        <f t="shared" si="3"/>
        <v>44409</v>
      </c>
      <c r="AY2" s="2">
        <f t="shared" si="3"/>
        <v>44416</v>
      </c>
      <c r="AZ2" s="2">
        <f t="shared" si="3"/>
        <v>44423</v>
      </c>
      <c r="BA2" s="2">
        <f t="shared" si="3"/>
        <v>44430</v>
      </c>
      <c r="BB2" s="2">
        <f t="shared" si="3"/>
        <v>44437</v>
      </c>
      <c r="BC2" s="2">
        <f t="shared" si="3"/>
        <v>44444</v>
      </c>
      <c r="BD2" s="2">
        <f t="shared" si="3"/>
        <v>44451</v>
      </c>
    </row>
    <row r="3" spans="1:56" x14ac:dyDescent="0.25">
      <c r="I3">
        <f>SUM(Tableau1313[s1])</f>
        <v>0</v>
      </c>
      <c r="J3">
        <f>SUM(Tableau1313[s2])</f>
        <v>0</v>
      </c>
      <c r="K3">
        <f>SUM(Tableau1313[s3])</f>
        <v>0</v>
      </c>
      <c r="L3" s="102">
        <f>SUM(Tableau1313[s4])</f>
        <v>0</v>
      </c>
      <c r="M3" s="102">
        <f>SUM(Tableau1313[s5])</f>
        <v>0</v>
      </c>
      <c r="N3" s="102">
        <f>SUM(Tableau1313[s6])</f>
        <v>0</v>
      </c>
      <c r="O3" s="102">
        <f>SUM(Tableau1313[s7])</f>
        <v>0</v>
      </c>
      <c r="P3" s="102">
        <f>SUM(Tableau1313[s8])</f>
        <v>0</v>
      </c>
      <c r="Q3" s="102">
        <f>SUM(Tableau1313[s9])</f>
        <v>0</v>
      </c>
      <c r="R3" s="102">
        <f>SUM(Tableau1313[s10])</f>
        <v>0</v>
      </c>
      <c r="S3" s="102">
        <f>SUM(Tableau1313[s11])</f>
        <v>0</v>
      </c>
      <c r="T3" s="102">
        <f>SUM(Tableau1313[s12])</f>
        <v>0</v>
      </c>
      <c r="U3">
        <f>SUM(Tableau1313[s13])</f>
        <v>0</v>
      </c>
      <c r="V3">
        <f>SUM(Tableau1313[s14])</f>
        <v>0</v>
      </c>
      <c r="W3" s="134">
        <f>SUM(Tableau1313[s15])</f>
        <v>0</v>
      </c>
      <c r="X3">
        <f>SUM(Tableau1313[s16])</f>
        <v>0</v>
      </c>
      <c r="Y3">
        <f>SUM(Tableau1313[s17])</f>
        <v>0</v>
      </c>
      <c r="Z3">
        <f>SUM(Tableau1313[s18])</f>
        <v>0</v>
      </c>
      <c r="AA3">
        <f>SUM(Tableau1313[s19])</f>
        <v>0</v>
      </c>
      <c r="AB3">
        <f>SUM(Tableau1313[s20])</f>
        <v>0</v>
      </c>
      <c r="AC3">
        <f>SUM(Tableau1313[s21])</f>
        <v>0</v>
      </c>
      <c r="AD3">
        <f>SUM(Tableau1313[s22])</f>
        <v>0</v>
      </c>
      <c r="AH3" s="102"/>
      <c r="AI3" s="102"/>
      <c r="AJ3" s="102"/>
      <c r="AK3" s="102"/>
      <c r="AL3" s="102"/>
      <c r="AM3" s="102"/>
      <c r="AN3" s="102"/>
    </row>
    <row r="4" spans="1:56" x14ac:dyDescent="0.25">
      <c r="A4" s="23" t="s">
        <v>0</v>
      </c>
      <c r="B4" s="24" t="s">
        <v>2</v>
      </c>
      <c r="C4" s="24" t="s">
        <v>1</v>
      </c>
      <c r="D4" s="24" t="s">
        <v>4</v>
      </c>
      <c r="E4" s="24" t="s">
        <v>3</v>
      </c>
      <c r="F4" s="24" t="s">
        <v>8</v>
      </c>
      <c r="G4" s="25" t="s">
        <v>10</v>
      </c>
      <c r="H4" s="24" t="s">
        <v>5</v>
      </c>
      <c r="I4" s="24" t="s">
        <v>11</v>
      </c>
      <c r="J4" s="24" t="s">
        <v>12</v>
      </c>
      <c r="K4" s="24" t="s">
        <v>13</v>
      </c>
      <c r="L4" s="175" t="s">
        <v>14</v>
      </c>
      <c r="M4" s="175" t="s">
        <v>15</v>
      </c>
      <c r="N4" s="175" t="s">
        <v>16</v>
      </c>
      <c r="O4" s="175" t="s">
        <v>17</v>
      </c>
      <c r="P4" s="175" t="s">
        <v>18</v>
      </c>
      <c r="Q4" s="175" t="s">
        <v>19</v>
      </c>
      <c r="R4" s="175" t="s">
        <v>20</v>
      </c>
      <c r="S4" s="175" t="s">
        <v>21</v>
      </c>
      <c r="T4" s="175" t="s">
        <v>22</v>
      </c>
      <c r="U4" s="24" t="s">
        <v>23</v>
      </c>
      <c r="V4" s="24" t="s">
        <v>24</v>
      </c>
      <c r="W4" s="135" t="s">
        <v>25</v>
      </c>
      <c r="X4" s="24" t="s">
        <v>26</v>
      </c>
      <c r="Y4" s="24" t="s">
        <v>27</v>
      </c>
      <c r="Z4" s="24" t="s">
        <v>28</v>
      </c>
      <c r="AA4" s="24" t="s">
        <v>29</v>
      </c>
      <c r="AB4" s="24" t="s">
        <v>30</v>
      </c>
      <c r="AC4" s="24" t="s">
        <v>31</v>
      </c>
      <c r="AD4" s="26" t="s">
        <v>32</v>
      </c>
      <c r="AE4" s="135" t="s">
        <v>152</v>
      </c>
      <c r="AF4" s="24" t="s">
        <v>153</v>
      </c>
      <c r="AG4" s="24" t="s">
        <v>154</v>
      </c>
      <c r="AH4" s="175" t="s">
        <v>155</v>
      </c>
      <c r="AI4" s="175" t="s">
        <v>156</v>
      </c>
      <c r="AJ4" s="175" t="s">
        <v>157</v>
      </c>
      <c r="AK4" s="175" t="s">
        <v>158</v>
      </c>
      <c r="AL4" s="175" t="s">
        <v>159</v>
      </c>
      <c r="AM4" s="175" t="s">
        <v>160</v>
      </c>
      <c r="AN4" s="175" t="s">
        <v>161</v>
      </c>
      <c r="AO4" s="24" t="s">
        <v>162</v>
      </c>
      <c r="AP4" s="24" t="s">
        <v>163</v>
      </c>
      <c r="AQ4" s="24" t="s">
        <v>164</v>
      </c>
      <c r="AR4" s="24" t="s">
        <v>165</v>
      </c>
      <c r="AS4" s="24" t="s">
        <v>166</v>
      </c>
      <c r="AT4" s="24" t="s">
        <v>167</v>
      </c>
      <c r="AU4" s="24" t="s">
        <v>168</v>
      </c>
      <c r="AV4" s="24" t="s">
        <v>169</v>
      </c>
      <c r="AW4" s="24" t="s">
        <v>170</v>
      </c>
      <c r="AX4" s="179" t="s">
        <v>201</v>
      </c>
      <c r="AY4" s="179" t="s">
        <v>202</v>
      </c>
      <c r="AZ4" s="179" t="s">
        <v>203</v>
      </c>
      <c r="BA4" s="179" t="s">
        <v>204</v>
      </c>
      <c r="BB4" s="179" t="s">
        <v>205</v>
      </c>
      <c r="BC4" s="179" t="s">
        <v>206</v>
      </c>
      <c r="BD4" s="179" t="s">
        <v>207</v>
      </c>
    </row>
    <row r="5" spans="1:56" x14ac:dyDescent="0.25">
      <c r="A5" s="5" t="s">
        <v>90</v>
      </c>
      <c r="B5" s="5"/>
      <c r="C5" s="5"/>
      <c r="D5" s="5"/>
      <c r="L5"/>
      <c r="T5"/>
      <c r="W5"/>
      <c r="AE5"/>
    </row>
    <row r="6" spans="1:56" x14ac:dyDescent="0.25">
      <c r="A6" s="5" t="s">
        <v>90</v>
      </c>
      <c r="B6" s="5"/>
      <c r="C6" s="5"/>
      <c r="D6" s="5"/>
      <c r="L6"/>
      <c r="T6"/>
      <c r="W6"/>
      <c r="AE6"/>
    </row>
    <row r="7" spans="1:56" x14ac:dyDescent="0.25">
      <c r="A7" s="5" t="s">
        <v>90</v>
      </c>
      <c r="B7" s="5"/>
      <c r="C7" s="5"/>
      <c r="D7" s="5"/>
      <c r="L7"/>
      <c r="T7"/>
      <c r="W7"/>
      <c r="AE7"/>
    </row>
    <row r="8" spans="1:56" x14ac:dyDescent="0.25">
      <c r="A8" s="5" t="s">
        <v>90</v>
      </c>
      <c r="B8" s="5"/>
      <c r="C8" s="5"/>
      <c r="D8" s="5"/>
      <c r="L8"/>
      <c r="T8"/>
      <c r="W8"/>
      <c r="AE8"/>
    </row>
    <row r="9" spans="1:56" x14ac:dyDescent="0.25">
      <c r="A9" s="5" t="s">
        <v>90</v>
      </c>
      <c r="B9" s="5"/>
      <c r="C9" s="5"/>
      <c r="D9" s="5"/>
      <c r="L9"/>
      <c r="T9"/>
      <c r="W9"/>
      <c r="AE9"/>
    </row>
    <row r="10" spans="1:56" x14ac:dyDescent="0.25">
      <c r="A10" s="5" t="s">
        <v>90</v>
      </c>
      <c r="B10" s="5"/>
      <c r="C10" s="5"/>
      <c r="D10" s="5"/>
      <c r="L10"/>
      <c r="T10"/>
      <c r="W10"/>
      <c r="AE10"/>
    </row>
    <row r="11" spans="1:56" x14ac:dyDescent="0.25">
      <c r="A11" s="5" t="s">
        <v>90</v>
      </c>
      <c r="B11" s="5"/>
      <c r="C11" s="5"/>
      <c r="D11" s="5"/>
      <c r="L11"/>
      <c r="T11"/>
      <c r="W11"/>
      <c r="AE11"/>
    </row>
    <row r="12" spans="1:56" x14ac:dyDescent="0.25">
      <c r="A12" s="5" t="s">
        <v>90</v>
      </c>
      <c r="B12" s="5"/>
      <c r="C12" s="5"/>
      <c r="D12" s="5"/>
      <c r="L12"/>
      <c r="T12"/>
      <c r="W12"/>
      <c r="AE12"/>
    </row>
    <row r="13" spans="1:56" x14ac:dyDescent="0.25">
      <c r="A13" s="5" t="s">
        <v>90</v>
      </c>
      <c r="B13" s="5"/>
      <c r="C13" s="5"/>
      <c r="D13" s="5"/>
      <c r="L13"/>
      <c r="T13"/>
      <c r="W13"/>
      <c r="AE13"/>
    </row>
    <row r="14" spans="1:56" x14ac:dyDescent="0.25">
      <c r="A14" s="5" t="s">
        <v>90</v>
      </c>
      <c r="B14" s="5"/>
      <c r="C14" s="5"/>
      <c r="D14" s="5"/>
      <c r="L14"/>
      <c r="T14"/>
      <c r="W14"/>
      <c r="AE14"/>
    </row>
    <row r="15" spans="1:56" x14ac:dyDescent="0.25">
      <c r="A15" s="5" t="s">
        <v>90</v>
      </c>
      <c r="B15" s="5"/>
      <c r="C15" s="5"/>
      <c r="D15" s="5"/>
      <c r="L15"/>
      <c r="T15"/>
      <c r="W15"/>
      <c r="AE15"/>
    </row>
    <row r="16" spans="1:56" x14ac:dyDescent="0.25">
      <c r="A16" s="5" t="s">
        <v>90</v>
      </c>
      <c r="B16" s="5"/>
      <c r="C16" s="5"/>
      <c r="D16" s="5"/>
      <c r="L16"/>
      <c r="T16"/>
      <c r="W16"/>
      <c r="AE16"/>
    </row>
    <row r="17" spans="1:56" x14ac:dyDescent="0.25">
      <c r="A17" s="5" t="s">
        <v>90</v>
      </c>
      <c r="B17" s="5"/>
      <c r="C17" s="5"/>
      <c r="D17" s="5"/>
      <c r="L17"/>
      <c r="T17"/>
      <c r="W17"/>
      <c r="AE17"/>
    </row>
    <row r="18" spans="1:56" x14ac:dyDescent="0.25">
      <c r="A18" s="5" t="s">
        <v>90</v>
      </c>
      <c r="B18" s="5"/>
      <c r="C18" s="5"/>
      <c r="D18" s="5"/>
      <c r="L18"/>
      <c r="T18"/>
      <c r="W18"/>
      <c r="AE18"/>
    </row>
    <row r="19" spans="1:56" x14ac:dyDescent="0.25">
      <c r="A19" s="5" t="s">
        <v>90</v>
      </c>
      <c r="B19" s="5"/>
      <c r="C19" s="5"/>
      <c r="D19" s="5"/>
      <c r="L19"/>
      <c r="T19"/>
      <c r="W19"/>
      <c r="AE19"/>
    </row>
    <row r="20" spans="1:56" x14ac:dyDescent="0.25">
      <c r="A20" s="5" t="s">
        <v>90</v>
      </c>
      <c r="B20" s="5"/>
      <c r="C20" s="5"/>
      <c r="D20" s="5"/>
      <c r="L20"/>
      <c r="T20"/>
      <c r="W20"/>
      <c r="AE20"/>
    </row>
    <row r="21" spans="1:56" x14ac:dyDescent="0.25">
      <c r="A21" s="5" t="s">
        <v>90</v>
      </c>
      <c r="B21" s="5"/>
      <c r="C21" s="5"/>
      <c r="D21" s="5"/>
      <c r="L21"/>
      <c r="T21"/>
      <c r="W21"/>
      <c r="AE21"/>
    </row>
    <row r="22" spans="1:56" x14ac:dyDescent="0.25">
      <c r="A22" s="5" t="s">
        <v>90</v>
      </c>
      <c r="B22" s="5"/>
      <c r="C22" s="5"/>
      <c r="D22" s="5"/>
      <c r="L22"/>
      <c r="T22"/>
      <c r="W22"/>
      <c r="AE22"/>
    </row>
    <row r="23" spans="1:56" x14ac:dyDescent="0.25">
      <c r="A23" s="165" t="s">
        <v>90</v>
      </c>
      <c r="B23" s="165"/>
      <c r="C23" s="165"/>
      <c r="D23" s="165"/>
      <c r="E23" s="165"/>
      <c r="F23" s="27"/>
      <c r="G23" s="27"/>
      <c r="H23" s="28"/>
      <c r="I23" s="31"/>
      <c r="J23" s="31"/>
      <c r="K23" s="172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168"/>
      <c r="X23" s="31"/>
      <c r="Y23" s="31"/>
      <c r="Z23" s="31"/>
      <c r="AA23" s="31"/>
      <c r="AB23" s="31"/>
      <c r="AC23" s="31"/>
      <c r="AD23" s="31"/>
      <c r="AE23" s="168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</row>
    <row r="24" spans="1:56" x14ac:dyDescent="0.25">
      <c r="A24" s="165" t="s">
        <v>90</v>
      </c>
      <c r="B24" s="165"/>
      <c r="C24" s="165"/>
      <c r="D24" s="165"/>
      <c r="E24" s="165"/>
      <c r="F24" s="27"/>
      <c r="G24" s="27"/>
      <c r="H24" s="28"/>
      <c r="I24" s="31"/>
      <c r="J24" s="31"/>
      <c r="K24" s="172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168"/>
      <c r="X24" s="31"/>
      <c r="Y24" s="31"/>
      <c r="Z24" s="31"/>
      <c r="AA24" s="31"/>
      <c r="AB24" s="31"/>
      <c r="AC24" s="31"/>
      <c r="AD24" s="31"/>
      <c r="AE24" s="168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</row>
    <row r="25" spans="1:56" x14ac:dyDescent="0.25">
      <c r="A25" s="165" t="s">
        <v>90</v>
      </c>
      <c r="B25" s="165"/>
      <c r="C25" s="165"/>
      <c r="D25" s="165"/>
      <c r="E25" s="165"/>
      <c r="F25" s="27"/>
      <c r="G25" s="27"/>
      <c r="H25" s="28"/>
      <c r="I25" s="31"/>
      <c r="J25" s="31"/>
      <c r="K25" s="172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168"/>
      <c r="X25" s="31"/>
      <c r="Y25" s="31"/>
      <c r="Z25" s="31"/>
      <c r="AA25" s="31"/>
      <c r="AB25" s="31"/>
      <c r="AC25" s="31"/>
      <c r="AD25" s="31"/>
      <c r="AE25" s="168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</row>
    <row r="26" spans="1:56" x14ac:dyDescent="0.25">
      <c r="A26" s="165" t="s">
        <v>90</v>
      </c>
      <c r="B26" s="165"/>
      <c r="C26" s="165"/>
      <c r="D26" s="165"/>
      <c r="E26" s="165"/>
      <c r="F26" s="27"/>
      <c r="G26" s="27"/>
      <c r="H26" s="28"/>
      <c r="I26" s="31"/>
      <c r="J26" s="31"/>
      <c r="K26" s="172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168"/>
      <c r="X26" s="31"/>
      <c r="Y26" s="31"/>
      <c r="Z26" s="31"/>
      <c r="AA26" s="31"/>
      <c r="AB26" s="31"/>
      <c r="AC26" s="31"/>
      <c r="AD26" s="31"/>
      <c r="AE26" s="168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</row>
    <row r="27" spans="1:56" x14ac:dyDescent="0.25">
      <c r="A27" s="165" t="s">
        <v>90</v>
      </c>
      <c r="B27" s="165"/>
      <c r="C27" s="165"/>
      <c r="D27" s="165"/>
      <c r="E27" s="165"/>
      <c r="F27" s="27"/>
      <c r="G27" s="27"/>
      <c r="H27" s="28"/>
      <c r="I27" s="31"/>
      <c r="J27" s="31"/>
      <c r="K27" s="172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168"/>
      <c r="X27" s="31"/>
      <c r="Y27" s="31"/>
      <c r="Z27" s="31"/>
      <c r="AA27" s="31"/>
      <c r="AB27" s="31"/>
      <c r="AC27" s="31"/>
      <c r="AD27" s="31"/>
      <c r="AE27" s="168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</row>
    <row r="28" spans="1:56" x14ac:dyDescent="0.25">
      <c r="A28" s="165" t="s">
        <v>90</v>
      </c>
      <c r="B28" s="165"/>
      <c r="C28" s="165"/>
      <c r="D28" s="165"/>
      <c r="E28" s="165"/>
      <c r="F28" s="27"/>
      <c r="G28" s="27"/>
      <c r="H28" s="28"/>
      <c r="I28" s="31"/>
      <c r="J28" s="31"/>
      <c r="K28" s="172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168"/>
      <c r="X28" s="31"/>
      <c r="Y28" s="31"/>
      <c r="Z28" s="31"/>
      <c r="AA28" s="31"/>
      <c r="AB28" s="31"/>
      <c r="AC28" s="31"/>
      <c r="AD28" s="31"/>
      <c r="AE28" s="168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</row>
    <row r="29" spans="1:56" x14ac:dyDescent="0.25">
      <c r="A29" s="165" t="s">
        <v>90</v>
      </c>
      <c r="B29" s="165"/>
      <c r="C29" s="165"/>
      <c r="D29" s="165"/>
      <c r="E29" s="165"/>
      <c r="F29" s="27"/>
      <c r="G29" s="27"/>
      <c r="H29" s="28"/>
      <c r="I29" s="31"/>
      <c r="J29" s="31"/>
      <c r="K29" s="172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168"/>
      <c r="X29" s="31"/>
      <c r="Y29" s="31"/>
      <c r="Z29" s="31"/>
      <c r="AA29" s="31"/>
      <c r="AB29" s="31"/>
      <c r="AC29" s="31"/>
      <c r="AD29" s="31"/>
      <c r="AE29" s="168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</row>
    <row r="30" spans="1:56" x14ac:dyDescent="0.25">
      <c r="A30" s="165" t="s">
        <v>90</v>
      </c>
      <c r="B30" s="165"/>
      <c r="C30" s="165"/>
      <c r="D30" s="165"/>
      <c r="E30" s="165"/>
      <c r="F30" s="27"/>
      <c r="G30" s="27"/>
      <c r="H30" s="28"/>
      <c r="I30" s="31"/>
      <c r="J30" s="31"/>
      <c r="K30" s="172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168"/>
      <c r="X30" s="31"/>
      <c r="Y30" s="31"/>
      <c r="Z30" s="31"/>
      <c r="AA30" s="31"/>
      <c r="AB30" s="31"/>
      <c r="AC30" s="31"/>
      <c r="AD30" s="31"/>
      <c r="AE30" s="168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</row>
    <row r="31" spans="1:56" x14ac:dyDescent="0.25">
      <c r="A31" s="165" t="s">
        <v>90</v>
      </c>
      <c r="B31" s="165"/>
      <c r="C31" s="165"/>
      <c r="D31" s="165"/>
      <c r="E31" s="165"/>
      <c r="F31" s="27"/>
      <c r="G31" s="27"/>
      <c r="H31" s="28"/>
      <c r="I31" s="31"/>
      <c r="J31" s="31"/>
      <c r="K31" s="172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168"/>
      <c r="X31" s="31"/>
      <c r="Y31" s="31"/>
      <c r="Z31" s="31"/>
      <c r="AA31" s="31"/>
      <c r="AB31" s="31"/>
      <c r="AC31" s="31"/>
      <c r="AD31" s="31"/>
      <c r="AE31" s="168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</row>
    <row r="32" spans="1:56" x14ac:dyDescent="0.25">
      <c r="A32" s="165" t="s">
        <v>90</v>
      </c>
      <c r="B32" s="165"/>
      <c r="C32" s="165"/>
      <c r="D32" s="165"/>
      <c r="E32" s="165"/>
      <c r="F32" s="27"/>
      <c r="G32" s="27"/>
      <c r="H32" s="28"/>
      <c r="I32" s="31"/>
      <c r="J32" s="31"/>
      <c r="K32" s="172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168"/>
      <c r="X32" s="31"/>
      <c r="Y32" s="31"/>
      <c r="Z32" s="31"/>
      <c r="AA32" s="31"/>
      <c r="AB32" s="31"/>
      <c r="AC32" s="31"/>
      <c r="AD32" s="31"/>
      <c r="AE32" s="168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</row>
    <row r="33" spans="1:56" x14ac:dyDescent="0.25">
      <c r="A33" s="165" t="s">
        <v>90</v>
      </c>
      <c r="B33" s="165"/>
      <c r="C33" s="165"/>
      <c r="D33" s="165"/>
      <c r="E33" s="165"/>
      <c r="F33" s="27"/>
      <c r="G33" s="27"/>
      <c r="H33" s="28"/>
      <c r="I33" s="31"/>
      <c r="J33" s="31"/>
      <c r="K33" s="172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168"/>
      <c r="X33" s="31"/>
      <c r="Y33" s="31"/>
      <c r="Z33" s="31"/>
      <c r="AA33" s="31"/>
      <c r="AB33" s="31"/>
      <c r="AC33" s="31"/>
      <c r="AD33" s="31"/>
      <c r="AE33" s="168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</row>
    <row r="34" spans="1:56" x14ac:dyDescent="0.25">
      <c r="A34" s="165" t="s">
        <v>90</v>
      </c>
      <c r="B34" s="165"/>
      <c r="C34" s="165"/>
      <c r="D34" s="165"/>
      <c r="E34" s="165"/>
      <c r="F34" s="27"/>
      <c r="G34" s="27"/>
      <c r="H34" s="28"/>
      <c r="I34" s="31"/>
      <c r="J34" s="31"/>
      <c r="K34" s="172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168"/>
      <c r="X34" s="31"/>
      <c r="Y34" s="31"/>
      <c r="Z34" s="31"/>
      <c r="AA34" s="31"/>
      <c r="AB34" s="31"/>
      <c r="AC34" s="31"/>
      <c r="AD34" s="31"/>
      <c r="AE34" s="168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</row>
    <row r="35" spans="1:56" x14ac:dyDescent="0.25">
      <c r="A35" s="165" t="s">
        <v>90</v>
      </c>
      <c r="B35" s="165"/>
      <c r="C35" s="165"/>
      <c r="D35" s="165"/>
      <c r="E35" s="165"/>
      <c r="F35" s="27"/>
      <c r="G35" s="27"/>
      <c r="H35" s="28"/>
      <c r="I35" s="31"/>
      <c r="J35" s="31"/>
      <c r="K35" s="172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168"/>
      <c r="X35" s="31"/>
      <c r="Y35" s="31"/>
      <c r="Z35" s="31"/>
      <c r="AA35" s="31"/>
      <c r="AB35" s="31"/>
      <c r="AC35" s="31"/>
      <c r="AD35" s="31"/>
      <c r="AE35" s="168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</row>
    <row r="36" spans="1:56" x14ac:dyDescent="0.25">
      <c r="A36" s="165" t="s">
        <v>90</v>
      </c>
      <c r="B36" s="165"/>
      <c r="C36" s="165"/>
      <c r="D36" s="165"/>
      <c r="E36" s="165"/>
      <c r="F36" s="27"/>
      <c r="G36" s="27"/>
      <c r="H36" s="28"/>
      <c r="I36" s="31"/>
      <c r="J36" s="31"/>
      <c r="K36" s="172"/>
      <c r="L36" s="33"/>
      <c r="M36" s="33"/>
      <c r="N36" s="33"/>
      <c r="O36" s="33"/>
      <c r="P36" s="33"/>
      <c r="Q36" s="33"/>
      <c r="R36" s="33"/>
      <c r="S36" s="33"/>
      <c r="T36" s="33"/>
      <c r="U36" s="31"/>
      <c r="V36" s="31"/>
      <c r="W36" s="168"/>
      <c r="X36" s="31"/>
      <c r="Y36" s="31"/>
      <c r="Z36" s="31"/>
      <c r="AA36" s="31"/>
      <c r="AB36" s="31"/>
      <c r="AC36" s="31"/>
      <c r="AD36" s="31"/>
      <c r="AE36" s="168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</row>
    <row r="37" spans="1:56" x14ac:dyDescent="0.25">
      <c r="A37" s="185" t="s">
        <v>90</v>
      </c>
      <c r="B37" s="185"/>
      <c r="C37" s="185"/>
      <c r="D37" s="185"/>
      <c r="E37" s="185"/>
      <c r="F37" s="29"/>
      <c r="G37" s="29"/>
      <c r="H37" s="30"/>
      <c r="I37" s="32"/>
      <c r="J37" s="32"/>
      <c r="K37" s="186"/>
      <c r="L37" s="156"/>
      <c r="M37" s="156"/>
      <c r="N37" s="156"/>
      <c r="O37" s="156"/>
      <c r="P37" s="156"/>
      <c r="Q37" s="156"/>
      <c r="R37" s="156"/>
      <c r="S37" s="156"/>
      <c r="T37" s="156"/>
      <c r="U37" s="32"/>
      <c r="V37" s="32"/>
      <c r="W37" s="187"/>
      <c r="X37" s="32"/>
      <c r="Y37" s="32"/>
      <c r="Z37" s="32"/>
      <c r="AA37" s="32"/>
      <c r="AB37" s="32"/>
      <c r="AC37" s="32"/>
      <c r="AD37" s="32"/>
      <c r="AE37" s="187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</row>
    <row r="38" spans="1:56" x14ac:dyDescent="0.25">
      <c r="L38" s="102"/>
      <c r="M38" s="102"/>
      <c r="N38" s="102"/>
      <c r="O38" s="102"/>
      <c r="P38" s="102"/>
      <c r="Q38" s="102"/>
      <c r="R38" s="102"/>
      <c r="S38" s="102"/>
      <c r="T38" s="102"/>
    </row>
    <row r="39" spans="1:56" x14ac:dyDescent="0.25">
      <c r="L39" s="102"/>
      <c r="M39" s="102"/>
      <c r="N39" s="102"/>
      <c r="O39" s="102"/>
      <c r="P39" s="102"/>
      <c r="Q39" s="102"/>
      <c r="R39" s="102"/>
      <c r="S39" s="102"/>
      <c r="T39" s="102"/>
    </row>
    <row r="40" spans="1:56" x14ac:dyDescent="0.25">
      <c r="L40" s="102"/>
      <c r="M40" s="102"/>
      <c r="N40" s="102"/>
      <c r="O40" s="102"/>
      <c r="P40" s="102"/>
      <c r="Q40" s="102"/>
      <c r="R40" s="102"/>
      <c r="S40" s="102"/>
      <c r="T40" s="102"/>
    </row>
    <row r="41" spans="1:56" x14ac:dyDescent="0.25">
      <c r="L41" s="102"/>
      <c r="M41" s="102"/>
      <c r="N41" s="102"/>
      <c r="O41" s="102"/>
      <c r="P41" s="102"/>
      <c r="Q41" s="102"/>
      <c r="R41" s="102"/>
      <c r="S41" s="102"/>
      <c r="T41" s="102"/>
    </row>
    <row r="42" spans="1:56" x14ac:dyDescent="0.25">
      <c r="L42" s="102"/>
      <c r="M42" s="102"/>
      <c r="N42" s="102"/>
      <c r="O42" s="102"/>
      <c r="P42" s="102"/>
      <c r="Q42" s="102"/>
      <c r="R42" s="102"/>
      <c r="S42" s="102"/>
      <c r="T42" s="102"/>
    </row>
    <row r="43" spans="1:56" x14ac:dyDescent="0.25">
      <c r="L43" s="102"/>
      <c r="M43" s="102"/>
      <c r="N43" s="102"/>
      <c r="O43" s="102"/>
      <c r="P43" s="102"/>
      <c r="Q43" s="102"/>
      <c r="R43" s="102"/>
      <c r="S43" s="102"/>
      <c r="T43" s="102"/>
    </row>
    <row r="44" spans="1:56" x14ac:dyDescent="0.25">
      <c r="L44" s="102"/>
      <c r="M44" s="102"/>
      <c r="N44" s="102"/>
      <c r="O44" s="102"/>
      <c r="P44" s="102"/>
      <c r="Q44" s="102"/>
      <c r="R44" s="102"/>
      <c r="S44" s="102"/>
      <c r="T44" s="102"/>
    </row>
    <row r="45" spans="1:56" x14ac:dyDescent="0.25">
      <c r="L45" s="102"/>
      <c r="M45" s="102"/>
      <c r="N45" s="102"/>
      <c r="O45" s="102"/>
      <c r="P45" s="102"/>
      <c r="Q45" s="102"/>
      <c r="R45" s="102"/>
      <c r="S45" s="102"/>
      <c r="T45" s="102"/>
    </row>
    <row r="46" spans="1:56" x14ac:dyDescent="0.25">
      <c r="L46" s="102"/>
      <c r="M46" s="102"/>
      <c r="N46" s="102"/>
      <c r="O46" s="102"/>
      <c r="P46" s="102"/>
      <c r="Q46" s="102"/>
      <c r="R46" s="102"/>
      <c r="S46" s="102"/>
      <c r="T46" s="102"/>
    </row>
    <row r="47" spans="1:56" x14ac:dyDescent="0.25">
      <c r="L47" s="102"/>
      <c r="M47" s="102"/>
      <c r="N47" s="102"/>
      <c r="O47" s="102"/>
      <c r="P47" s="102"/>
      <c r="Q47" s="102"/>
      <c r="R47" s="102"/>
      <c r="S47" s="102"/>
      <c r="T47" s="102"/>
    </row>
    <row r="48" spans="1:56" x14ac:dyDescent="0.25">
      <c r="L48" s="102"/>
      <c r="M48" s="102"/>
      <c r="N48" s="102"/>
      <c r="O48" s="102"/>
      <c r="P48" s="102"/>
      <c r="Q48" s="102"/>
      <c r="R48" s="102"/>
      <c r="S48" s="102"/>
      <c r="T48" s="102"/>
    </row>
    <row r="49" spans="12:20" x14ac:dyDescent="0.25">
      <c r="L49" s="102"/>
      <c r="M49" s="102"/>
      <c r="N49" s="102"/>
      <c r="O49" s="102"/>
      <c r="P49" s="102"/>
      <c r="Q49" s="102"/>
      <c r="R49" s="102"/>
      <c r="S49" s="102"/>
      <c r="T49" s="102"/>
    </row>
    <row r="50" spans="12:20" hidden="1" x14ac:dyDescent="0.25">
      <c r="L50" s="102"/>
      <c r="M50" s="102"/>
      <c r="N50" s="102"/>
      <c r="O50" s="102"/>
      <c r="P50" s="102"/>
      <c r="Q50" s="102"/>
      <c r="R50" s="102"/>
      <c r="S50" s="102"/>
      <c r="T50" s="102"/>
    </row>
    <row r="51" spans="12:20" hidden="1" x14ac:dyDescent="0.25">
      <c r="L51" s="102"/>
      <c r="M51" s="102"/>
      <c r="N51" s="102"/>
      <c r="O51" s="102"/>
      <c r="P51" s="102"/>
      <c r="Q51" s="102"/>
      <c r="R51" s="102"/>
      <c r="S51" s="102"/>
      <c r="T51" s="102"/>
    </row>
    <row r="52" spans="12:20" hidden="1" x14ac:dyDescent="0.25">
      <c r="L52" s="102"/>
      <c r="M52" s="102"/>
      <c r="N52" s="102"/>
      <c r="O52" s="102"/>
      <c r="P52" s="102"/>
      <c r="Q52" s="102"/>
      <c r="R52" s="102"/>
      <c r="S52" s="102"/>
      <c r="T52" s="102"/>
    </row>
    <row r="53" spans="12:20" hidden="1" x14ac:dyDescent="0.25">
      <c r="L53" s="102"/>
      <c r="M53" s="102"/>
      <c r="N53" s="102"/>
      <c r="O53" s="102"/>
      <c r="P53" s="102"/>
      <c r="Q53" s="102"/>
      <c r="R53" s="102"/>
      <c r="S53" s="102"/>
      <c r="T53" s="102"/>
    </row>
    <row r="54" spans="12:20" hidden="1" x14ac:dyDescent="0.25">
      <c r="L54" s="102"/>
      <c r="M54" s="102"/>
      <c r="N54" s="102"/>
      <c r="O54" s="102"/>
      <c r="P54" s="102"/>
      <c r="Q54" s="102"/>
      <c r="R54" s="102"/>
      <c r="S54" s="102"/>
      <c r="T54" s="102"/>
    </row>
    <row r="55" spans="12:20" hidden="1" x14ac:dyDescent="0.25">
      <c r="L55" s="102"/>
      <c r="M55" s="102"/>
      <c r="N55" s="102"/>
      <c r="O55" s="102"/>
      <c r="P55" s="102"/>
      <c r="Q55" s="102"/>
      <c r="R55" s="102"/>
      <c r="S55" s="102"/>
      <c r="T55" s="102"/>
    </row>
    <row r="56" spans="12:20" hidden="1" x14ac:dyDescent="0.25">
      <c r="L56" s="102"/>
      <c r="M56" s="102"/>
      <c r="N56" s="102"/>
      <c r="O56" s="102"/>
      <c r="P56" s="102"/>
      <c r="Q56" s="102"/>
      <c r="R56" s="102"/>
      <c r="S56" s="102"/>
      <c r="T56" s="102"/>
    </row>
    <row r="57" spans="12:20" x14ac:dyDescent="0.25">
      <c r="L57" s="102"/>
      <c r="M57" s="102"/>
      <c r="N57" s="102"/>
      <c r="O57" s="102"/>
      <c r="P57" s="102"/>
      <c r="Q57" s="102"/>
      <c r="R57" s="102"/>
      <c r="S57" s="102"/>
      <c r="T57" s="102"/>
    </row>
    <row r="58" spans="12:20" x14ac:dyDescent="0.25">
      <c r="L58" s="102"/>
      <c r="M58" s="102"/>
      <c r="N58" s="102"/>
      <c r="O58" s="102"/>
      <c r="P58" s="102"/>
      <c r="Q58" s="102"/>
      <c r="R58" s="102"/>
      <c r="S58" s="102"/>
      <c r="T58" s="102"/>
    </row>
    <row r="59" spans="12:20" x14ac:dyDescent="0.25">
      <c r="L59" s="102"/>
      <c r="M59" s="102"/>
      <c r="N59" s="102"/>
      <c r="O59" s="102"/>
      <c r="P59" s="102"/>
      <c r="Q59" s="102"/>
      <c r="R59" s="102"/>
      <c r="S59" s="102"/>
      <c r="T59" s="102"/>
    </row>
    <row r="60" spans="12:20" x14ac:dyDescent="0.25">
      <c r="L60" s="102"/>
      <c r="M60" s="102"/>
      <c r="N60" s="102"/>
      <c r="O60" s="102"/>
      <c r="P60" s="102"/>
      <c r="Q60" s="102"/>
      <c r="R60" s="102"/>
      <c r="S60" s="102"/>
      <c r="T60" s="102"/>
    </row>
    <row r="61" spans="12:20" x14ac:dyDescent="0.25">
      <c r="L61" s="102"/>
      <c r="M61" s="102"/>
      <c r="N61" s="102"/>
      <c r="O61" s="102"/>
      <c r="P61" s="102"/>
      <c r="Q61" s="102"/>
      <c r="R61" s="102"/>
      <c r="S61" s="102"/>
      <c r="T61" s="102"/>
    </row>
    <row r="62" spans="12:20" x14ac:dyDescent="0.25">
      <c r="L62" s="102"/>
      <c r="M62" s="102"/>
      <c r="N62" s="102"/>
      <c r="O62" s="102"/>
      <c r="P62" s="102"/>
      <c r="Q62" s="102"/>
      <c r="R62" s="102"/>
      <c r="S62" s="102"/>
      <c r="T62" s="102"/>
    </row>
    <row r="63" spans="12:20" x14ac:dyDescent="0.25">
      <c r="L63" s="102"/>
      <c r="M63" s="102"/>
      <c r="N63" s="102"/>
      <c r="O63" s="102"/>
      <c r="P63" s="102"/>
      <c r="Q63" s="102"/>
      <c r="R63" s="102"/>
      <c r="S63" s="102"/>
      <c r="T63" s="102"/>
    </row>
    <row r="64" spans="12:20" x14ac:dyDescent="0.25">
      <c r="L64" s="102"/>
      <c r="M64" s="102"/>
      <c r="N64" s="102"/>
      <c r="O64" s="102"/>
      <c r="P64" s="102"/>
      <c r="Q64" s="102"/>
      <c r="R64" s="102"/>
      <c r="S64" s="102"/>
      <c r="T64" s="102"/>
    </row>
    <row r="65" spans="12:20" x14ac:dyDescent="0.25">
      <c r="L65" s="102"/>
      <c r="M65" s="102"/>
      <c r="N65" s="102"/>
      <c r="O65" s="102"/>
      <c r="P65" s="102"/>
      <c r="Q65" s="102"/>
      <c r="R65" s="102"/>
      <c r="S65" s="102"/>
      <c r="T65" s="102"/>
    </row>
    <row r="66" spans="12:20" x14ac:dyDescent="0.25">
      <c r="L66" s="102"/>
      <c r="M66" s="102"/>
      <c r="N66" s="102"/>
      <c r="O66" s="102"/>
      <c r="P66" s="102"/>
      <c r="Q66" s="102"/>
      <c r="R66" s="102"/>
      <c r="S66" s="102"/>
      <c r="T66" s="102"/>
    </row>
    <row r="67" spans="12:20" x14ac:dyDescent="0.25">
      <c r="L67" s="102"/>
      <c r="M67" s="102"/>
      <c r="N67" s="102"/>
      <c r="O67" s="102"/>
      <c r="P67" s="102"/>
      <c r="Q67" s="102"/>
      <c r="R67" s="102"/>
      <c r="S67" s="102"/>
      <c r="T67" s="102"/>
    </row>
    <row r="68" spans="12:20" x14ac:dyDescent="0.25">
      <c r="L68" s="102"/>
      <c r="M68" s="102"/>
      <c r="N68" s="102"/>
      <c r="O68" s="102"/>
      <c r="P68" s="102"/>
      <c r="Q68" s="102"/>
      <c r="R68" s="102"/>
      <c r="S68" s="102"/>
      <c r="T68" s="102"/>
    </row>
    <row r="69" spans="12:20" x14ac:dyDescent="0.25">
      <c r="L69" s="102"/>
      <c r="M69" s="102"/>
      <c r="N69" s="102"/>
      <c r="O69" s="102"/>
      <c r="P69" s="102"/>
      <c r="Q69" s="102"/>
      <c r="R69" s="102"/>
      <c r="S69" s="102"/>
      <c r="T69" s="102"/>
    </row>
    <row r="70" spans="12:20" x14ac:dyDescent="0.25">
      <c r="L70" s="102"/>
      <c r="M70" s="102"/>
      <c r="N70" s="102"/>
      <c r="O70" s="102"/>
      <c r="P70" s="102"/>
      <c r="Q70" s="102"/>
      <c r="R70" s="102"/>
      <c r="S70" s="102"/>
      <c r="T70" s="102"/>
    </row>
    <row r="71" spans="12:20" x14ac:dyDescent="0.25">
      <c r="L71" s="102"/>
      <c r="M71" s="102"/>
      <c r="N71" s="102"/>
      <c r="O71" s="102"/>
      <c r="P71" s="102"/>
      <c r="Q71" s="102"/>
      <c r="R71" s="102"/>
      <c r="S71" s="102"/>
      <c r="T71" s="102"/>
    </row>
    <row r="72" spans="12:20" x14ac:dyDescent="0.25">
      <c r="L72" s="102"/>
      <c r="M72" s="102"/>
      <c r="N72" s="102"/>
      <c r="O72" s="102"/>
      <c r="P72" s="102"/>
      <c r="Q72" s="102"/>
      <c r="R72" s="102"/>
      <c r="S72" s="102"/>
      <c r="T72" s="102"/>
    </row>
    <row r="73" spans="12:20" x14ac:dyDescent="0.25">
      <c r="L73" s="102"/>
      <c r="M73" s="102"/>
      <c r="N73" s="102"/>
      <c r="O73" s="102"/>
      <c r="P73" s="102"/>
      <c r="Q73" s="102"/>
      <c r="R73" s="102"/>
      <c r="S73" s="102"/>
      <c r="T73" s="102"/>
    </row>
    <row r="74" spans="12:20" x14ac:dyDescent="0.25">
      <c r="L74" s="102"/>
      <c r="M74" s="102"/>
      <c r="N74" s="102"/>
      <c r="O74" s="102"/>
      <c r="P74" s="102"/>
      <c r="Q74" s="102"/>
      <c r="R74" s="102"/>
      <c r="S74" s="102"/>
      <c r="T74" s="102"/>
    </row>
    <row r="75" spans="12:20" x14ac:dyDescent="0.25">
      <c r="L75" s="102"/>
      <c r="M75" s="102"/>
      <c r="N75" s="102"/>
      <c r="O75" s="102"/>
      <c r="P75" s="102"/>
      <c r="Q75" s="102"/>
      <c r="R75" s="102"/>
      <c r="S75" s="102"/>
      <c r="T75" s="102"/>
    </row>
    <row r="76" spans="12:20" x14ac:dyDescent="0.25">
      <c r="L76" s="102"/>
      <c r="M76" s="102"/>
      <c r="N76" s="102"/>
      <c r="O76" s="102"/>
      <c r="P76" s="102"/>
      <c r="Q76" s="102"/>
      <c r="R76" s="102"/>
      <c r="S76" s="102"/>
      <c r="T76" s="102"/>
    </row>
    <row r="77" spans="12:20" x14ac:dyDescent="0.25">
      <c r="L77" s="102"/>
      <c r="M77" s="102"/>
      <c r="N77" s="102"/>
      <c r="O77" s="102"/>
      <c r="P77" s="102"/>
      <c r="Q77" s="102"/>
      <c r="R77" s="102"/>
      <c r="S77" s="102"/>
      <c r="T77" s="102"/>
    </row>
    <row r="78" spans="12:20" x14ac:dyDescent="0.25">
      <c r="L78" s="102"/>
      <c r="M78" s="102"/>
      <c r="N78" s="102"/>
      <c r="O78" s="102"/>
      <c r="P78" s="102"/>
      <c r="Q78" s="102"/>
      <c r="R78" s="102"/>
      <c r="S78" s="102"/>
      <c r="T78" s="102"/>
    </row>
    <row r="79" spans="12:20" x14ac:dyDescent="0.25">
      <c r="L79" s="102"/>
      <c r="M79" s="102"/>
      <c r="N79" s="102"/>
      <c r="O79" s="102"/>
      <c r="P79" s="102"/>
      <c r="Q79" s="102"/>
      <c r="R79" s="102"/>
      <c r="S79" s="102"/>
      <c r="T79" s="102"/>
    </row>
    <row r="80" spans="12:20" x14ac:dyDescent="0.25">
      <c r="L80" s="102"/>
      <c r="M80" s="102"/>
      <c r="N80" s="102"/>
      <c r="O80" s="102"/>
      <c r="P80" s="102"/>
      <c r="Q80" s="102"/>
      <c r="R80" s="102"/>
      <c r="S80" s="102"/>
      <c r="T80" s="102"/>
    </row>
    <row r="81" spans="12:20" x14ac:dyDescent="0.25">
      <c r="L81" s="102"/>
      <c r="M81" s="102"/>
      <c r="N81" s="102"/>
      <c r="O81" s="102"/>
      <c r="P81" s="102"/>
      <c r="Q81" s="102"/>
      <c r="R81" s="102"/>
      <c r="S81" s="102"/>
      <c r="T81" s="102"/>
    </row>
    <row r="82" spans="12:20" x14ac:dyDescent="0.25">
      <c r="L82" s="102"/>
      <c r="M82" s="102"/>
      <c r="N82" s="102"/>
      <c r="O82" s="102"/>
      <c r="P82" s="102"/>
      <c r="Q82" s="102"/>
      <c r="R82" s="102"/>
      <c r="S82" s="102"/>
      <c r="T82" s="102"/>
    </row>
    <row r="83" spans="12:20" x14ac:dyDescent="0.25">
      <c r="L83" s="102"/>
      <c r="M83" s="102"/>
      <c r="N83" s="102"/>
      <c r="O83" s="102"/>
      <c r="P83" s="102"/>
      <c r="Q83" s="102"/>
      <c r="R83" s="102"/>
      <c r="S83" s="102"/>
      <c r="T83" s="102"/>
    </row>
    <row r="84" spans="12:20" x14ac:dyDescent="0.25">
      <c r="L84" s="102"/>
      <c r="M84" s="102"/>
      <c r="N84" s="102"/>
      <c r="O84" s="102"/>
      <c r="P84" s="102"/>
      <c r="Q84" s="102"/>
      <c r="R84" s="102"/>
      <c r="S84" s="102"/>
      <c r="T84" s="102"/>
    </row>
    <row r="85" spans="12:20" x14ac:dyDescent="0.25">
      <c r="L85" s="102"/>
      <c r="M85" s="102"/>
      <c r="N85" s="102"/>
      <c r="O85" s="102"/>
      <c r="P85" s="102"/>
      <c r="Q85" s="102"/>
      <c r="R85" s="102"/>
      <c r="S85" s="102"/>
      <c r="T85" s="102"/>
    </row>
    <row r="86" spans="12:20" x14ac:dyDescent="0.25">
      <c r="L86" s="102"/>
      <c r="M86" s="102"/>
      <c r="N86" s="102"/>
      <c r="O86" s="102"/>
      <c r="P86" s="102"/>
      <c r="Q86" s="102"/>
      <c r="R86" s="102"/>
      <c r="S86" s="102"/>
      <c r="T86" s="102"/>
    </row>
    <row r="87" spans="12:20" x14ac:dyDescent="0.25">
      <c r="L87" s="102"/>
      <c r="M87" s="102"/>
      <c r="N87" s="102"/>
      <c r="O87" s="102"/>
      <c r="P87" s="102"/>
      <c r="Q87" s="102"/>
      <c r="R87" s="102"/>
      <c r="S87" s="102"/>
      <c r="T87" s="102"/>
    </row>
    <row r="88" spans="12:20" x14ac:dyDescent="0.25">
      <c r="L88" s="102"/>
      <c r="M88" s="102"/>
      <c r="N88" s="102"/>
      <c r="O88" s="102"/>
      <c r="P88" s="102"/>
      <c r="Q88" s="102"/>
      <c r="R88" s="102"/>
      <c r="S88" s="102"/>
      <c r="T88" s="102"/>
    </row>
    <row r="89" spans="12:20" x14ac:dyDescent="0.25">
      <c r="L89" s="102"/>
      <c r="M89" s="102"/>
      <c r="N89" s="102"/>
      <c r="O89" s="102"/>
      <c r="P89" s="102"/>
      <c r="Q89" s="102"/>
      <c r="R89" s="102"/>
      <c r="S89" s="102"/>
      <c r="T89" s="102"/>
    </row>
    <row r="90" spans="12:20" x14ac:dyDescent="0.25">
      <c r="L90" s="102"/>
      <c r="M90" s="102"/>
      <c r="N90" s="102"/>
      <c r="O90" s="102"/>
      <c r="P90" s="102"/>
      <c r="Q90" s="102"/>
      <c r="R90" s="102"/>
      <c r="S90" s="102"/>
      <c r="T90" s="102"/>
    </row>
    <row r="91" spans="12:20" x14ac:dyDescent="0.25">
      <c r="L91" s="102"/>
      <c r="M91" s="102"/>
      <c r="N91" s="102"/>
      <c r="O91" s="102"/>
      <c r="P91" s="102"/>
      <c r="Q91" s="102"/>
      <c r="R91" s="102"/>
      <c r="S91" s="102"/>
      <c r="T91" s="102"/>
    </row>
    <row r="92" spans="12:20" x14ac:dyDescent="0.25">
      <c r="L92" s="102"/>
      <c r="M92" s="102"/>
      <c r="N92" s="102"/>
      <c r="O92" s="102"/>
      <c r="P92" s="102"/>
      <c r="Q92" s="102"/>
      <c r="R92" s="102"/>
      <c r="S92" s="102"/>
      <c r="T92" s="102"/>
    </row>
    <row r="93" spans="12:20" x14ac:dyDescent="0.25">
      <c r="L93" s="102"/>
      <c r="M93" s="102"/>
      <c r="N93" s="102"/>
      <c r="O93" s="102"/>
      <c r="P93" s="102"/>
      <c r="Q93" s="102"/>
      <c r="R93" s="102"/>
      <c r="S93" s="102"/>
      <c r="T93" s="102"/>
    </row>
    <row r="94" spans="12:20" x14ac:dyDescent="0.25">
      <c r="L94" s="102"/>
      <c r="M94" s="102"/>
      <c r="N94" s="102"/>
      <c r="O94" s="102"/>
      <c r="P94" s="102"/>
      <c r="Q94" s="102"/>
      <c r="R94" s="102"/>
      <c r="S94" s="102"/>
      <c r="T94" s="102"/>
    </row>
    <row r="95" spans="12:20" x14ac:dyDescent="0.25">
      <c r="L95" s="102"/>
      <c r="M95" s="102"/>
      <c r="N95" s="102"/>
      <c r="O95" s="102"/>
      <c r="P95" s="102"/>
      <c r="Q95" s="102"/>
      <c r="R95" s="102"/>
      <c r="S95" s="102"/>
      <c r="T95" s="102"/>
    </row>
    <row r="96" spans="12:20" x14ac:dyDescent="0.25">
      <c r="L96" s="102"/>
      <c r="M96" s="102"/>
      <c r="N96" s="102"/>
      <c r="O96" s="102"/>
      <c r="P96" s="102"/>
      <c r="Q96" s="102"/>
      <c r="R96" s="102"/>
      <c r="S96" s="102"/>
      <c r="T96" s="102"/>
    </row>
    <row r="97" spans="12:20" x14ac:dyDescent="0.25">
      <c r="L97" s="102"/>
      <c r="M97" s="102"/>
      <c r="N97" s="102"/>
      <c r="O97" s="102"/>
      <c r="P97" s="102"/>
      <c r="Q97" s="102"/>
      <c r="R97" s="102"/>
      <c r="S97" s="102"/>
      <c r="T97" s="102"/>
    </row>
    <row r="98" spans="12:20" x14ac:dyDescent="0.25">
      <c r="L98" s="102"/>
      <c r="M98" s="102"/>
      <c r="N98" s="102"/>
      <c r="O98" s="102"/>
      <c r="P98" s="102"/>
      <c r="Q98" s="102"/>
      <c r="R98" s="102"/>
      <c r="S98" s="102"/>
      <c r="T98" s="102"/>
    </row>
    <row r="99" spans="12:20" x14ac:dyDescent="0.25">
      <c r="L99" s="102"/>
      <c r="M99" s="102"/>
      <c r="N99" s="102"/>
      <c r="O99" s="102"/>
      <c r="P99" s="102"/>
      <c r="Q99" s="102"/>
      <c r="R99" s="102"/>
      <c r="S99" s="102"/>
      <c r="T99" s="102"/>
    </row>
    <row r="100" spans="12:20" x14ac:dyDescent="0.25">
      <c r="L100" s="102"/>
      <c r="M100" s="102"/>
      <c r="N100" s="102"/>
      <c r="O100" s="102"/>
      <c r="P100" s="102"/>
      <c r="Q100" s="102"/>
      <c r="R100" s="102"/>
      <c r="S100" s="102"/>
      <c r="T100" s="102"/>
    </row>
    <row r="101" spans="12:20" x14ac:dyDescent="0.25">
      <c r="L101" s="102"/>
      <c r="M101" s="102"/>
      <c r="N101" s="102"/>
      <c r="O101" s="102"/>
      <c r="P101" s="102"/>
      <c r="Q101" s="102"/>
      <c r="R101" s="102"/>
      <c r="S101" s="102"/>
      <c r="T101" s="102"/>
    </row>
    <row r="102" spans="12:20" x14ac:dyDescent="0.25">
      <c r="L102" s="102"/>
      <c r="M102" s="102"/>
      <c r="N102" s="102"/>
      <c r="O102" s="102"/>
      <c r="P102" s="102"/>
      <c r="Q102" s="102"/>
      <c r="R102" s="102"/>
      <c r="S102" s="102"/>
      <c r="T102" s="102"/>
    </row>
    <row r="103" spans="12:20" x14ac:dyDescent="0.25">
      <c r="L103" s="102"/>
      <c r="M103" s="102"/>
      <c r="N103" s="102"/>
      <c r="O103" s="102"/>
      <c r="P103" s="102"/>
      <c r="Q103" s="102"/>
      <c r="R103" s="102"/>
      <c r="S103" s="102"/>
      <c r="T103" s="102"/>
    </row>
    <row r="104" spans="12:20" x14ac:dyDescent="0.25">
      <c r="L104" s="102"/>
      <c r="M104" s="102"/>
      <c r="N104" s="102"/>
      <c r="O104" s="102"/>
      <c r="P104" s="102"/>
      <c r="Q104" s="102"/>
      <c r="R104" s="102"/>
      <c r="S104" s="102"/>
      <c r="T104" s="102"/>
    </row>
    <row r="105" spans="12:20" x14ac:dyDescent="0.25">
      <c r="L105" s="102"/>
      <c r="M105" s="102"/>
      <c r="N105" s="102"/>
      <c r="O105" s="102"/>
      <c r="P105" s="102"/>
      <c r="Q105" s="102"/>
      <c r="R105" s="102"/>
      <c r="S105" s="102"/>
      <c r="T105" s="102"/>
    </row>
    <row r="106" spans="12:20" x14ac:dyDescent="0.25">
      <c r="L106" s="102"/>
      <c r="M106" s="102"/>
      <c r="N106" s="102"/>
      <c r="O106" s="102"/>
      <c r="P106" s="102"/>
      <c r="Q106" s="102"/>
      <c r="R106" s="102"/>
      <c r="S106" s="102"/>
      <c r="T106" s="102"/>
    </row>
    <row r="107" spans="12:20" x14ac:dyDescent="0.25">
      <c r="L107" s="102"/>
      <c r="M107" s="102"/>
      <c r="N107" s="102"/>
      <c r="O107" s="102"/>
      <c r="P107" s="102"/>
      <c r="Q107" s="102"/>
      <c r="R107" s="102"/>
      <c r="S107" s="102"/>
      <c r="T107" s="102"/>
    </row>
    <row r="108" spans="12:20" x14ac:dyDescent="0.25">
      <c r="L108" s="102"/>
      <c r="M108" s="102"/>
      <c r="N108" s="102"/>
      <c r="O108" s="102"/>
      <c r="P108" s="102"/>
      <c r="Q108" s="102"/>
      <c r="R108" s="102"/>
      <c r="S108" s="102"/>
      <c r="T108" s="102"/>
    </row>
    <row r="109" spans="12:20" x14ac:dyDescent="0.25">
      <c r="L109" s="102"/>
      <c r="M109" s="102"/>
      <c r="N109" s="102"/>
      <c r="O109" s="102"/>
      <c r="P109" s="102"/>
      <c r="Q109" s="102"/>
      <c r="R109" s="102"/>
      <c r="S109" s="102"/>
      <c r="T109" s="102"/>
    </row>
    <row r="110" spans="12:20" x14ac:dyDescent="0.25">
      <c r="L110" s="102"/>
      <c r="M110" s="102"/>
      <c r="N110" s="102"/>
      <c r="O110" s="102"/>
      <c r="P110" s="102"/>
      <c r="Q110" s="102"/>
      <c r="R110" s="102"/>
      <c r="S110" s="102"/>
      <c r="T110" s="102"/>
    </row>
    <row r="111" spans="12:20" x14ac:dyDescent="0.25">
      <c r="L111" s="102"/>
      <c r="M111" s="102"/>
      <c r="N111" s="102"/>
      <c r="O111" s="102"/>
      <c r="P111" s="102"/>
      <c r="Q111" s="102"/>
      <c r="R111" s="102"/>
      <c r="S111" s="102"/>
      <c r="T111" s="102"/>
    </row>
    <row r="112" spans="12:20" x14ac:dyDescent="0.25">
      <c r="L112" s="102"/>
      <c r="M112" s="102"/>
      <c r="N112" s="102"/>
      <c r="O112" s="102"/>
      <c r="P112" s="102"/>
      <c r="Q112" s="102"/>
      <c r="R112" s="102"/>
      <c r="S112" s="102"/>
      <c r="T112" s="102"/>
    </row>
    <row r="113" spans="12:20" x14ac:dyDescent="0.25">
      <c r="L113" s="102"/>
      <c r="M113" s="102"/>
      <c r="N113" s="102"/>
      <c r="O113" s="102"/>
      <c r="P113" s="102"/>
      <c r="Q113" s="102"/>
      <c r="R113" s="102"/>
      <c r="S113" s="102"/>
      <c r="T113" s="102"/>
    </row>
    <row r="114" spans="12:20" x14ac:dyDescent="0.25">
      <c r="L114" s="102"/>
      <c r="M114" s="102"/>
      <c r="N114" s="102"/>
      <c r="O114" s="102"/>
      <c r="P114" s="102"/>
      <c r="Q114" s="102"/>
      <c r="R114" s="102"/>
      <c r="S114" s="102"/>
      <c r="T114" s="102"/>
    </row>
    <row r="115" spans="12:20" x14ac:dyDescent="0.25">
      <c r="L115" s="102"/>
      <c r="M115" s="102"/>
      <c r="N115" s="102"/>
      <c r="O115" s="102"/>
      <c r="P115" s="102"/>
      <c r="Q115" s="102"/>
      <c r="R115" s="102"/>
      <c r="S115" s="102"/>
      <c r="T115" s="102"/>
    </row>
    <row r="116" spans="12:20" x14ac:dyDescent="0.25">
      <c r="L116" s="102"/>
      <c r="M116" s="102"/>
      <c r="N116" s="102"/>
      <c r="O116" s="102"/>
      <c r="P116" s="102"/>
      <c r="Q116" s="102"/>
      <c r="R116" s="102"/>
      <c r="S116" s="102"/>
      <c r="T116" s="102"/>
    </row>
    <row r="117" spans="12:20" x14ac:dyDescent="0.25">
      <c r="L117" s="102"/>
      <c r="M117" s="102"/>
      <c r="N117" s="102"/>
      <c r="O117" s="102"/>
      <c r="P117" s="102"/>
      <c r="Q117" s="102"/>
      <c r="R117" s="102"/>
      <c r="S117" s="102"/>
      <c r="T117" s="102"/>
    </row>
    <row r="118" spans="12:20" x14ac:dyDescent="0.25">
      <c r="L118" s="102"/>
      <c r="M118" s="102"/>
      <c r="N118" s="102"/>
      <c r="O118" s="102"/>
      <c r="P118" s="102"/>
      <c r="Q118" s="102"/>
      <c r="R118" s="102"/>
      <c r="S118" s="102"/>
      <c r="T118" s="102"/>
    </row>
    <row r="119" spans="12:20" x14ac:dyDescent="0.25">
      <c r="L119" s="102"/>
      <c r="M119" s="102"/>
      <c r="N119" s="102"/>
      <c r="O119" s="102"/>
      <c r="P119" s="102"/>
      <c r="Q119" s="102"/>
      <c r="R119" s="102"/>
      <c r="S119" s="102"/>
      <c r="T119" s="102"/>
    </row>
    <row r="120" spans="12:20" x14ac:dyDescent="0.25">
      <c r="L120" s="102"/>
      <c r="M120" s="102"/>
      <c r="N120" s="102"/>
      <c r="O120" s="102"/>
      <c r="P120" s="102"/>
      <c r="Q120" s="102"/>
      <c r="R120" s="102"/>
      <c r="S120" s="102"/>
      <c r="T120" s="102"/>
    </row>
    <row r="121" spans="12:20" x14ac:dyDescent="0.25">
      <c r="L121" s="102"/>
      <c r="M121" s="102"/>
      <c r="N121" s="102"/>
      <c r="O121" s="102"/>
      <c r="P121" s="102"/>
      <c r="Q121" s="102"/>
      <c r="R121" s="102"/>
      <c r="S121" s="102"/>
      <c r="T121" s="102"/>
    </row>
    <row r="122" spans="12:20" x14ac:dyDescent="0.25">
      <c r="L122" s="102"/>
      <c r="M122" s="102"/>
      <c r="N122" s="102"/>
      <c r="O122" s="102"/>
      <c r="P122" s="102"/>
      <c r="Q122" s="102"/>
      <c r="R122" s="102"/>
      <c r="S122" s="102"/>
      <c r="T122" s="102"/>
    </row>
    <row r="123" spans="12:20" x14ac:dyDescent="0.25">
      <c r="L123" s="102"/>
      <c r="M123" s="102"/>
      <c r="N123" s="102"/>
      <c r="O123" s="102"/>
      <c r="P123" s="102"/>
      <c r="Q123" s="102"/>
      <c r="R123" s="102"/>
      <c r="S123" s="102"/>
      <c r="T123" s="102"/>
    </row>
    <row r="124" spans="12:20" x14ac:dyDescent="0.25">
      <c r="L124" s="102"/>
      <c r="M124" s="102"/>
      <c r="N124" s="102"/>
      <c r="O124" s="102"/>
      <c r="P124" s="102"/>
      <c r="Q124" s="102"/>
      <c r="R124" s="102"/>
      <c r="S124" s="102"/>
      <c r="T124" s="102"/>
    </row>
    <row r="125" spans="12:20" x14ac:dyDescent="0.25">
      <c r="L125" s="102"/>
      <c r="M125" s="102"/>
      <c r="N125" s="102"/>
      <c r="O125" s="102"/>
      <c r="P125" s="102"/>
      <c r="Q125" s="102"/>
      <c r="R125" s="102"/>
      <c r="S125" s="102"/>
      <c r="T125" s="102"/>
    </row>
    <row r="126" spans="12:20" x14ac:dyDescent="0.25">
      <c r="L126" s="102"/>
      <c r="M126" s="102"/>
      <c r="N126" s="102"/>
      <c r="O126" s="102"/>
      <c r="P126" s="102"/>
      <c r="Q126" s="102"/>
      <c r="R126" s="102"/>
      <c r="S126" s="102"/>
      <c r="T126" s="102"/>
    </row>
    <row r="127" spans="12:20" x14ac:dyDescent="0.25">
      <c r="L127" s="102"/>
      <c r="M127" s="102"/>
      <c r="N127" s="102"/>
      <c r="O127" s="102"/>
      <c r="P127" s="102"/>
      <c r="Q127" s="102"/>
      <c r="R127" s="102"/>
      <c r="S127" s="102"/>
      <c r="T127" s="102"/>
    </row>
    <row r="128" spans="12:20" x14ac:dyDescent="0.25">
      <c r="L128" s="102"/>
      <c r="M128" s="102"/>
      <c r="N128" s="102"/>
      <c r="O128" s="102"/>
      <c r="P128" s="102"/>
      <c r="Q128" s="102"/>
      <c r="R128" s="102"/>
      <c r="S128" s="102"/>
      <c r="T128" s="102"/>
    </row>
    <row r="129" spans="12:20" x14ac:dyDescent="0.25">
      <c r="L129" s="102"/>
      <c r="M129" s="102"/>
      <c r="N129" s="102"/>
      <c r="O129" s="102"/>
      <c r="P129" s="102"/>
      <c r="Q129" s="102"/>
      <c r="R129" s="102"/>
      <c r="S129" s="102"/>
      <c r="T129" s="102"/>
    </row>
    <row r="130" spans="12:20" x14ac:dyDescent="0.25">
      <c r="L130" s="102"/>
      <c r="M130" s="102"/>
      <c r="N130" s="102"/>
      <c r="O130" s="102"/>
      <c r="P130" s="102"/>
      <c r="Q130" s="102"/>
      <c r="R130" s="102"/>
      <c r="S130" s="102"/>
      <c r="T130" s="102"/>
    </row>
    <row r="131" spans="12:20" x14ac:dyDescent="0.25">
      <c r="L131" s="102"/>
      <c r="M131" s="102"/>
      <c r="N131" s="102"/>
      <c r="O131" s="102"/>
      <c r="P131" s="102"/>
      <c r="Q131" s="102"/>
      <c r="R131" s="102"/>
      <c r="S131" s="102"/>
      <c r="T131" s="102"/>
    </row>
    <row r="132" spans="12:20" x14ac:dyDescent="0.25">
      <c r="L132" s="102"/>
      <c r="M132" s="102"/>
      <c r="N132" s="102"/>
      <c r="O132" s="102"/>
      <c r="P132" s="102"/>
      <c r="Q132" s="102"/>
      <c r="R132" s="102"/>
      <c r="S132" s="102"/>
      <c r="T132" s="102"/>
    </row>
    <row r="133" spans="12:20" x14ac:dyDescent="0.25">
      <c r="L133" s="102"/>
      <c r="M133" s="102"/>
      <c r="N133" s="102"/>
      <c r="O133" s="102"/>
      <c r="P133" s="102"/>
      <c r="Q133" s="102"/>
      <c r="R133" s="102"/>
      <c r="S133" s="102"/>
      <c r="T133" s="102"/>
    </row>
    <row r="134" spans="12:20" x14ac:dyDescent="0.25">
      <c r="L134" s="102"/>
      <c r="M134" s="102"/>
      <c r="N134" s="102"/>
      <c r="O134" s="102"/>
      <c r="P134" s="102"/>
      <c r="Q134" s="102"/>
      <c r="R134" s="102"/>
      <c r="S134" s="102"/>
      <c r="T134" s="102"/>
    </row>
    <row r="135" spans="12:20" x14ac:dyDescent="0.25">
      <c r="L135" s="102"/>
      <c r="M135" s="102"/>
      <c r="N135" s="102"/>
      <c r="O135" s="102"/>
      <c r="P135" s="102"/>
      <c r="Q135" s="102"/>
      <c r="R135" s="102"/>
      <c r="S135" s="102"/>
      <c r="T135" s="102"/>
    </row>
    <row r="136" spans="12:20" x14ac:dyDescent="0.25">
      <c r="L136" s="102"/>
      <c r="M136" s="102"/>
      <c r="N136" s="102"/>
      <c r="O136" s="102"/>
      <c r="P136" s="102"/>
      <c r="Q136" s="102"/>
      <c r="R136" s="102"/>
      <c r="S136" s="102"/>
      <c r="T136" s="102"/>
    </row>
    <row r="137" spans="12:20" x14ac:dyDescent="0.25">
      <c r="L137" s="102"/>
      <c r="M137" s="102"/>
      <c r="N137" s="102"/>
      <c r="O137" s="102"/>
      <c r="P137" s="102"/>
      <c r="Q137" s="102"/>
      <c r="R137" s="102"/>
      <c r="S137" s="102"/>
      <c r="T137" s="102"/>
    </row>
    <row r="138" spans="12:20" x14ac:dyDescent="0.25">
      <c r="L138" s="102"/>
      <c r="M138" s="102"/>
      <c r="N138" s="102"/>
      <c r="O138" s="102"/>
      <c r="P138" s="102"/>
      <c r="Q138" s="102"/>
      <c r="R138" s="102"/>
      <c r="S138" s="102"/>
      <c r="T138" s="102"/>
    </row>
    <row r="139" spans="12:20" x14ac:dyDescent="0.25">
      <c r="L139" s="102"/>
      <c r="M139" s="102"/>
      <c r="N139" s="102"/>
      <c r="O139" s="102"/>
      <c r="P139" s="102"/>
      <c r="Q139" s="102"/>
      <c r="R139" s="102"/>
      <c r="S139" s="102"/>
      <c r="T139" s="102"/>
    </row>
    <row r="140" spans="12:20" x14ac:dyDescent="0.25">
      <c r="L140" s="102"/>
      <c r="M140" s="102"/>
      <c r="N140" s="102"/>
      <c r="O140" s="102"/>
      <c r="P140" s="102"/>
      <c r="Q140" s="102"/>
      <c r="R140" s="102"/>
      <c r="S140" s="102"/>
      <c r="T140" s="102"/>
    </row>
    <row r="141" spans="12:20" x14ac:dyDescent="0.25">
      <c r="L141" s="102"/>
      <c r="M141" s="102"/>
      <c r="N141" s="102"/>
      <c r="O141" s="102"/>
      <c r="P141" s="102"/>
      <c r="Q141" s="102"/>
      <c r="R141" s="102"/>
      <c r="S141" s="102"/>
      <c r="T141" s="102"/>
    </row>
    <row r="142" spans="12:20" x14ac:dyDescent="0.25">
      <c r="L142" s="102"/>
      <c r="M142" s="102"/>
      <c r="N142" s="102"/>
      <c r="O142" s="102"/>
      <c r="P142" s="102"/>
      <c r="Q142" s="102"/>
      <c r="R142" s="102"/>
      <c r="S142" s="102"/>
      <c r="T142" s="102"/>
    </row>
    <row r="143" spans="12:20" x14ac:dyDescent="0.25">
      <c r="L143" s="102"/>
      <c r="M143" s="102"/>
      <c r="N143" s="102"/>
      <c r="O143" s="102"/>
      <c r="P143" s="102"/>
      <c r="Q143" s="102"/>
      <c r="R143" s="102"/>
      <c r="S143" s="102"/>
      <c r="T143" s="102"/>
    </row>
    <row r="144" spans="12:20" x14ac:dyDescent="0.25">
      <c r="L144" s="102"/>
      <c r="M144" s="102"/>
      <c r="N144" s="102"/>
      <c r="O144" s="102"/>
      <c r="P144" s="102"/>
      <c r="Q144" s="102"/>
      <c r="R144" s="102"/>
      <c r="S144" s="102"/>
      <c r="T144" s="102"/>
    </row>
    <row r="145" spans="12:20" x14ac:dyDescent="0.25">
      <c r="L145" s="102"/>
      <c r="M145" s="102"/>
      <c r="N145" s="102"/>
      <c r="O145" s="102"/>
      <c r="P145" s="102"/>
      <c r="Q145" s="102"/>
      <c r="R145" s="102"/>
      <c r="S145" s="102"/>
      <c r="T145" s="102"/>
    </row>
    <row r="146" spans="12:20" x14ac:dyDescent="0.25">
      <c r="L146" s="102"/>
      <c r="M146" s="102"/>
      <c r="N146" s="102"/>
      <c r="O146" s="102"/>
      <c r="P146" s="102"/>
      <c r="Q146" s="102"/>
      <c r="R146" s="102"/>
      <c r="S146" s="102"/>
      <c r="T146" s="102"/>
    </row>
    <row r="147" spans="12:20" x14ac:dyDescent="0.25">
      <c r="L147" s="102"/>
      <c r="M147" s="102"/>
      <c r="N147" s="102"/>
      <c r="O147" s="102"/>
      <c r="P147" s="102"/>
      <c r="Q147" s="102"/>
      <c r="R147" s="102"/>
      <c r="S147" s="102"/>
      <c r="T147" s="102"/>
    </row>
    <row r="148" spans="12:20" x14ac:dyDescent="0.25">
      <c r="L148" s="102"/>
      <c r="M148" s="102"/>
      <c r="N148" s="102"/>
      <c r="O148" s="102"/>
      <c r="P148" s="102"/>
      <c r="Q148" s="102"/>
      <c r="R148" s="102"/>
      <c r="S148" s="102"/>
      <c r="T148" s="102"/>
    </row>
    <row r="149" spans="12:20" x14ac:dyDescent="0.25">
      <c r="L149" s="102"/>
      <c r="M149" s="102"/>
      <c r="N149" s="102"/>
      <c r="O149" s="102"/>
      <c r="P149" s="102"/>
      <c r="Q149" s="102"/>
      <c r="R149" s="102"/>
      <c r="S149" s="102"/>
      <c r="T149" s="102"/>
    </row>
    <row r="150" spans="12:20" x14ac:dyDescent="0.25">
      <c r="L150" s="102"/>
      <c r="M150" s="102"/>
      <c r="N150" s="102"/>
      <c r="O150" s="102"/>
      <c r="P150" s="102"/>
      <c r="Q150" s="102"/>
      <c r="R150" s="102"/>
      <c r="S150" s="102"/>
      <c r="T150" s="102"/>
    </row>
    <row r="151" spans="12:20" x14ac:dyDescent="0.25">
      <c r="L151" s="102"/>
      <c r="M151" s="102"/>
      <c r="N151" s="102"/>
      <c r="O151" s="102"/>
      <c r="P151" s="102"/>
      <c r="Q151" s="102"/>
      <c r="R151" s="102"/>
      <c r="S151" s="102"/>
      <c r="T151" s="102"/>
    </row>
    <row r="152" spans="12:20" x14ac:dyDescent="0.25">
      <c r="L152" s="102"/>
      <c r="M152" s="102"/>
      <c r="N152" s="102"/>
      <c r="O152" s="102"/>
      <c r="P152" s="102"/>
      <c r="Q152" s="102"/>
      <c r="R152" s="102"/>
      <c r="S152" s="102"/>
      <c r="T152" s="102"/>
    </row>
    <row r="153" spans="12:20" x14ac:dyDescent="0.25">
      <c r="L153" s="102"/>
      <c r="M153" s="102"/>
      <c r="N153" s="102"/>
      <c r="O153" s="102"/>
      <c r="P153" s="102"/>
      <c r="Q153" s="102"/>
      <c r="R153" s="102"/>
      <c r="S153" s="102"/>
      <c r="T153" s="102"/>
    </row>
    <row r="154" spans="12:20" x14ac:dyDescent="0.25">
      <c r="L154" s="102"/>
      <c r="M154" s="102"/>
      <c r="N154" s="102"/>
      <c r="O154" s="102"/>
      <c r="P154" s="102"/>
      <c r="Q154" s="102"/>
      <c r="R154" s="102"/>
      <c r="S154" s="102"/>
      <c r="T154" s="102"/>
    </row>
    <row r="155" spans="12:20" x14ac:dyDescent="0.25">
      <c r="L155" s="102"/>
      <c r="M155" s="102"/>
      <c r="N155" s="102"/>
      <c r="O155" s="102"/>
      <c r="P155" s="102"/>
      <c r="Q155" s="102"/>
      <c r="R155" s="102"/>
      <c r="S155" s="102"/>
      <c r="T155" s="102"/>
    </row>
    <row r="156" spans="12:20" x14ac:dyDescent="0.25">
      <c r="L156" s="102"/>
      <c r="M156" s="102"/>
      <c r="N156" s="102"/>
      <c r="O156" s="102"/>
      <c r="P156" s="102"/>
      <c r="Q156" s="102"/>
      <c r="R156" s="102"/>
      <c r="S156" s="102"/>
      <c r="T156" s="102"/>
    </row>
    <row r="157" spans="12:20" x14ac:dyDescent="0.25">
      <c r="L157" s="102"/>
      <c r="M157" s="102"/>
      <c r="N157" s="102"/>
      <c r="O157" s="102"/>
      <c r="P157" s="102"/>
      <c r="Q157" s="102"/>
      <c r="R157" s="102"/>
      <c r="S157" s="102"/>
      <c r="T157" s="102"/>
    </row>
    <row r="158" spans="12:20" x14ac:dyDescent="0.25">
      <c r="L158" s="102"/>
      <c r="M158" s="102"/>
      <c r="N158" s="102"/>
      <c r="O158" s="102"/>
      <c r="P158" s="102"/>
      <c r="Q158" s="102"/>
      <c r="R158" s="102"/>
      <c r="S158" s="102"/>
      <c r="T158" s="102"/>
    </row>
    <row r="159" spans="12:20" x14ac:dyDescent="0.25">
      <c r="L159" s="102"/>
      <c r="M159" s="102"/>
      <c r="N159" s="102"/>
      <c r="O159" s="102"/>
      <c r="P159" s="102"/>
      <c r="Q159" s="102"/>
      <c r="R159" s="102"/>
      <c r="S159" s="102"/>
      <c r="T159" s="102"/>
    </row>
    <row r="160" spans="12:20" x14ac:dyDescent="0.25">
      <c r="L160" s="102"/>
      <c r="M160" s="102"/>
      <c r="N160" s="102"/>
      <c r="O160" s="102"/>
      <c r="P160" s="102"/>
      <c r="Q160" s="102"/>
      <c r="R160" s="102"/>
      <c r="S160" s="102"/>
      <c r="T160" s="102"/>
    </row>
    <row r="161" spans="12:20" x14ac:dyDescent="0.25">
      <c r="L161" s="102"/>
      <c r="M161" s="102"/>
      <c r="N161" s="102"/>
      <c r="O161" s="102"/>
      <c r="P161" s="102"/>
      <c r="Q161" s="102"/>
      <c r="R161" s="102"/>
      <c r="S161" s="102"/>
      <c r="T161" s="102"/>
    </row>
    <row r="162" spans="12:20" x14ac:dyDescent="0.25">
      <c r="L162" s="102"/>
      <c r="M162" s="102"/>
      <c r="N162" s="102"/>
      <c r="O162" s="102"/>
      <c r="P162" s="102"/>
      <c r="Q162" s="102"/>
      <c r="R162" s="102"/>
      <c r="S162" s="102"/>
      <c r="T162" s="102"/>
    </row>
  </sheetData>
  <pageMargins left="0.7" right="0.7" top="0.75" bottom="0.75" header="0.3" footer="0.3"/>
  <pageSetup paperSize="9" orientation="portrait" horizontalDpi="4294967294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F561F9-06EC-4105-B881-448A3EF168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chronoModel</vt:lpstr>
      <vt:lpstr>Formation</vt:lpstr>
      <vt:lpstr>EmploiGroupe</vt:lpstr>
      <vt:lpstr>programmer</vt:lpstr>
      <vt:lpstr>EmpFormateur</vt:lpstr>
      <vt:lpstr>Prévision</vt:lpstr>
      <vt:lpstr>Réalisés</vt:lpstr>
      <vt:lpstr>Admin</vt:lpstr>
      <vt:lpstr>fc800</vt:lpstr>
      <vt:lpstr>fc120</vt:lpstr>
      <vt:lpstr>MP2020</vt:lpstr>
      <vt:lpstr>Maq2020</vt:lpstr>
      <vt:lpstr>MOT2019</vt:lpstr>
      <vt:lpstr>Actv</vt:lpstr>
      <vt:lpstr>Abr</vt:lpstr>
      <vt:lpstr>EmploiGroupe!Criteria</vt:lpstr>
      <vt:lpstr>Prévision!Criteria</vt:lpstr>
      <vt:lpstr>EmploiGroupe!Extract</vt:lpstr>
      <vt:lpstr>Formation!Extract</vt:lpstr>
      <vt:lpstr>Prévision!Extract</vt:lpstr>
      <vt:lpstr>FormateurAR</vt:lpstr>
      <vt:lpstr>GradeAR</vt:lpstr>
      <vt:lpstr>Groupe</vt:lpstr>
      <vt:lpstr>lstFormateur</vt:lpstr>
      <vt:lpstr>EmpFormateur!Print_Area</vt:lpstr>
      <vt:lpstr>EmploiGroupe!Print_Area</vt:lpstr>
      <vt:lpstr>ProgDeform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Rahma</dc:creator>
  <cp:lastModifiedBy>Coordinateur</cp:lastModifiedBy>
  <cp:lastPrinted>2021-05-25T14:15:38Z</cp:lastPrinted>
  <dcterms:created xsi:type="dcterms:W3CDTF">2020-05-26T08:44:29Z</dcterms:created>
  <dcterms:modified xsi:type="dcterms:W3CDTF">2021-05-26T07:58:46Z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215e209f-a68b-4b59-91f6-26862432a87b</vt:lpwstr>
  </property>
</Properties>
</file>